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gillianline/Desktop/Report/"/>
    </mc:Choice>
  </mc:AlternateContent>
  <xr:revisionPtr revIDLastSave="0" documentId="13_ncr:1_{C675C091-855D-694F-8C8D-180F9179DB14}" xr6:coauthVersionLast="47" xr6:coauthVersionMax="47" xr10:uidLastSave="{00000000-0000-0000-0000-000000000000}"/>
  <bookViews>
    <workbookView xWindow="0" yWindow="760" windowWidth="29400" windowHeight="16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+jxmkQ/hZI5Nre+ir9QtfrBZwXibHK733koGSwmhHo="/>
    </ext>
  </extLst>
</workbook>
</file>

<file path=xl/calcChain.xml><?xml version="1.0" encoding="utf-8"?>
<calcChain xmlns="http://schemas.openxmlformats.org/spreadsheetml/2006/main">
  <c r="DZ2" i="1" l="1"/>
  <c r="DZ3" i="1"/>
  <c r="DZ4" i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6" i="1"/>
  <c r="DZ77" i="1"/>
  <c r="DZ78" i="1"/>
  <c r="DZ79" i="1"/>
  <c r="DZ80" i="1"/>
  <c r="DZ81" i="1"/>
  <c r="DZ82" i="1"/>
  <c r="DZ83" i="1"/>
</calcChain>
</file>

<file path=xl/sharedStrings.xml><?xml version="1.0" encoding="utf-8"?>
<sst xmlns="http://schemas.openxmlformats.org/spreadsheetml/2006/main" count="1333" uniqueCount="225">
  <si>
    <t>Name</t>
  </si>
  <si>
    <t>Position Name</t>
  </si>
  <si>
    <t>Day Name</t>
  </si>
  <si>
    <t>Profile Max Velocity (mph)</t>
  </si>
  <si>
    <t>Maximum Velocity (mph)</t>
  </si>
  <si>
    <t>Max Vel (% Max)</t>
  </si>
  <si>
    <t>Acceleration Density</t>
  </si>
  <si>
    <t>Average Distance (y)</t>
  </si>
  <si>
    <t>Average Distance (Session) (y)</t>
  </si>
  <si>
    <t>Average Duration</t>
  </si>
  <si>
    <t>Average Duration (Session)</t>
  </si>
  <si>
    <t>Average Player Load (Session)</t>
  </si>
  <si>
    <t>Average Player Load (period)</t>
  </si>
  <si>
    <t>Peak Player Load</t>
  </si>
  <si>
    <t>Player Load Per Minute</t>
  </si>
  <si>
    <t>Total Player Load</t>
  </si>
  <si>
    <t>Total Acceleration Load</t>
  </si>
  <si>
    <t>Acceleration B1 Duration (Gen 2)</t>
  </si>
  <si>
    <t>Acceleration B1 Distance (Gen 2) (y)</t>
  </si>
  <si>
    <t>Acceleration B1 Efforts (Gen 2)</t>
  </si>
  <si>
    <t>Acceleration B2 Efforts (Gen 2)</t>
  </si>
  <si>
    <t>Acceleration B2 Duration (Gen 2)</t>
  </si>
  <si>
    <t>Acceleration B2 Distance (Gen 2) (y)</t>
  </si>
  <si>
    <t>Acceleration B3 Efforts (Gen 2)</t>
  </si>
  <si>
    <t>Acceleration B3 Distance (Gen 2) (y)</t>
  </si>
  <si>
    <t>Acceleration B3 Duration (Gen 2)</t>
  </si>
  <si>
    <t>Deceleration B1 Average Efforts (Session) (Gen 2)</t>
  </si>
  <si>
    <t>Deceleration B1 Distance (Gen 2) (y)</t>
  </si>
  <si>
    <t>Deceleration B1 Duration (Gen 2)</t>
  </si>
  <si>
    <t>Deceleration B1 Efforts (Gen 2)</t>
  </si>
  <si>
    <t>Deceleration B2 Average Efforts (Session) (Gen 2)</t>
  </si>
  <si>
    <t>Deceleration B2 Distance (Gen 2) (y)</t>
  </si>
  <si>
    <t>Deceleration B2 Duration (Gen 2)</t>
  </si>
  <si>
    <t>Deceleration B2 Efforts (Gen 2)</t>
  </si>
  <si>
    <t>Deceleration B3 Average Efforts (Session) (Gen 2)</t>
  </si>
  <si>
    <t>Deceleration B3 Distance (Gen 2) (y)</t>
  </si>
  <si>
    <t>Deceleration B3 Duration (Gen 2)</t>
  </si>
  <si>
    <t>Deceleration B3 Efforts (Gen 2)</t>
  </si>
  <si>
    <t>Max Acceleration</t>
  </si>
  <si>
    <t>Max Deceleration</t>
  </si>
  <si>
    <t>60-75% Dist</t>
  </si>
  <si>
    <t>60-75% Effts</t>
  </si>
  <si>
    <t>75-82% Dist</t>
  </si>
  <si>
    <t>75-82% Efforts</t>
  </si>
  <si>
    <t>82%+ Distance Tempo1 (y)</t>
  </si>
  <si>
    <t>82-90% Dist</t>
  </si>
  <si>
    <t>82-90% Efforts</t>
  </si>
  <si>
    <t>90%+ Avg Sprints (Session)</t>
  </si>
  <si>
    <t>90%+ Dist</t>
  </si>
  <si>
    <t>90%+ Sprints</t>
  </si>
  <si>
    <t>Active Distance (y)</t>
  </si>
  <si>
    <t>All Explosive Efforts (Acc &amp; Decel)</t>
  </si>
  <si>
    <t>Average Explosive Efforts</t>
  </si>
  <si>
    <t>Average Hi-Intensity Efforts</t>
  </si>
  <si>
    <t>Hi-Intensity Efforts</t>
  </si>
  <si>
    <t>Hard AC</t>
  </si>
  <si>
    <t>Hard DC</t>
  </si>
  <si>
    <t>High Speed Distance (&gt;12mph) (y)</t>
  </si>
  <si>
    <t>High Speed Distance (&gt;14mph) (y)</t>
  </si>
  <si>
    <t>High Speed Distance (&gt;16mph) (y)</t>
  </si>
  <si>
    <t>High Speed Distance (&gt;18 mph) (y)</t>
  </si>
  <si>
    <t>High Speed Efforts (&gt;12mph)</t>
  </si>
  <si>
    <t>High Speed Efforts (&gt;14mph)</t>
  </si>
  <si>
    <t>High Speed Efforts (&gt;16mph)</t>
  </si>
  <si>
    <t>High Speed Efforts (&gt;18mph)</t>
  </si>
  <si>
    <t>Field Time</t>
  </si>
  <si>
    <t>MII Distance Interval 1 (y)</t>
  </si>
  <si>
    <t>MII Distance Interval 2 (y)</t>
  </si>
  <si>
    <t>MII Distance Interval 3 (y)</t>
  </si>
  <si>
    <t>Velocity B2+ Average Effort Distance (Gen 2) (y)</t>
  </si>
  <si>
    <t>Velocity B2+ Total # Efforts (Gen 2)</t>
  </si>
  <si>
    <t>Velocity B3+ Average Effort Distance (Gen 2) (y)</t>
  </si>
  <si>
    <t>Velocity B3+ Total # Efforts (Gen 2)</t>
  </si>
  <si>
    <t>Velocity B4+ Average Effort Distance (Gen 2) (y)</t>
  </si>
  <si>
    <t>Velocity B4+ Maximum Effort Distance (Gen 2) (y)</t>
  </si>
  <si>
    <t>Velocity B4+ Minimum Effort Distance (Gen 2) (y)</t>
  </si>
  <si>
    <t>Velocity B4+ Total # Efforts (Gen 2)</t>
  </si>
  <si>
    <t>Velocity B5+ Average Effort Distance (Gen 2) (y)</t>
  </si>
  <si>
    <t>Velocity B5+ Maximum Effort Distance (Gen 2) (y)</t>
  </si>
  <si>
    <t>Velocity B5+ Minimum Effort Distance (Gen 2) (y)</t>
  </si>
  <si>
    <t>Velocity B5+ Total # Efforts (Gen 2)</t>
  </si>
  <si>
    <t>Velocity B6+ Average Effort Distance (Gen 2) (y)</t>
  </si>
  <si>
    <t>Velocity B6+ Maximum Effort Distance (Gen 2) (y)</t>
  </si>
  <si>
    <t>Velocity B6+ Minimum Effort Distance (Gen 2) (y)</t>
  </si>
  <si>
    <t>Velocity B6+ Total # Efforts (Gen 2)</t>
  </si>
  <si>
    <t>Velocity B7+ Average Effort Distance (Gen 2) (y)</t>
  </si>
  <si>
    <t>Velocity B7+ Maximum Effort Distance (Gen 2) (y)</t>
  </si>
  <si>
    <t>Velocity B7+ Minimum Effort Distance (Gen 2) (y)</t>
  </si>
  <si>
    <t>Velocity B7+ Total # Efforts (Gen 2)</t>
  </si>
  <si>
    <t>Velocity B8 Average Effort Distance (Gen 2) (y)</t>
  </si>
  <si>
    <t>Velocity B8 Maximum Effort Distance (Gen 2) (y)</t>
  </si>
  <si>
    <t>Velocity B8 Minimum Effort Distance (Gen 2) (y)</t>
  </si>
  <si>
    <t>Velocity B8 Total # Efforts (Gen 2)</t>
  </si>
  <si>
    <t>Velocity B2+ Average Effort Distance (Gen 2) (Set 2) (y)</t>
  </si>
  <si>
    <t>Velocity B2+ Total # Efforts (Gen 2) (Set 2)</t>
  </si>
  <si>
    <t>Velocity B3+ Average Effort Distance (Gen 2) (Set 2) (y)</t>
  </si>
  <si>
    <t>Velocity B3+ Total # Efforts (Gen 2) (Set 2)</t>
  </si>
  <si>
    <t>Velocity B4+ Average Effort Distance (Gen 2) (Set 2) (y)</t>
  </si>
  <si>
    <t>Velocity B4+ Maximum Effort Distance (Gen 2) (Set 2) (y)</t>
  </si>
  <si>
    <t>Velocity B4+ Minimum Effort Distance (Gen 2) (Set 2) (y)</t>
  </si>
  <si>
    <t>Velocity B4+ Total # Efforts (Gen 2) (Set 2)</t>
  </si>
  <si>
    <t>Velocity B5+ Average Effort Distance (Gen 2) (Set 2) (y)</t>
  </si>
  <si>
    <t>Velocity B5+ Maximum Effort Distance (Gen 2) (Set 2) (y)</t>
  </si>
  <si>
    <t>Velocity B5+ Minimum Effort Distance (Gen 2) (Set 2) (y)</t>
  </si>
  <si>
    <t>Velocity B5+ Total # Efforts (Gen 2) (Set 2)</t>
  </si>
  <si>
    <t>Velocity B6+ Average Effort Distance (Gen 2) (Set 2) (y)</t>
  </si>
  <si>
    <t>Velocity B6+ Maximum Effort Distance (Gen 2) (Set 2) (y)</t>
  </si>
  <si>
    <t>Velocity B6+ Minimum Effort Distance (Gen 2) (Set 2) (y)</t>
  </si>
  <si>
    <t>Velocity B6+ Total # Efforts (Gen 2) (Set 2)</t>
  </si>
  <si>
    <t>Velocity B7+ Average Effort Distance (Gen 2) (Set 2) (y)</t>
  </si>
  <si>
    <t>Velocity B7+ Maximum Effort Distance (Gen 2) (Set 2) (y)</t>
  </si>
  <si>
    <t>Velocity B7+ Minimum Effort Distance (Gen 2) (Set 2) (y)</t>
  </si>
  <si>
    <t>Velocity B7+ Total # Efforts (Gen 2) (Set 2)</t>
  </si>
  <si>
    <t>Velocity B8 Average Effort Distance (Gen 2) (Set 2) (y)</t>
  </si>
  <si>
    <t>Velocity B8 Maximum Effort Distance (Gen 2) (Set 2) (y)</t>
  </si>
  <si>
    <t>Velocity B8 Minimum Effort Distance (Gen 2) (Set 2) (y)</t>
  </si>
  <si>
    <t>Velocity B8 Total # Efforts (Gen 2) (Set 2)</t>
  </si>
  <si>
    <t>Very High Speed Distance</t>
  </si>
  <si>
    <t>Intensity</t>
  </si>
  <si>
    <t>Acceleration Density Index</t>
  </si>
  <si>
    <t>3-5+ Acc &amp; Decel Distance (y)</t>
  </si>
  <si>
    <t>3-5+ Acc &amp; Decel Effs</t>
  </si>
  <si>
    <t>Explosive Ratio</t>
  </si>
  <si>
    <t>Hi Speed % 12mph+</t>
  </si>
  <si>
    <t>Total Running Distance (y)</t>
  </si>
  <si>
    <t>Inactive Time</t>
  </si>
  <si>
    <t>Explosive Efforts+</t>
  </si>
  <si>
    <t>Total Duration</t>
  </si>
  <si>
    <t>S</t>
  </si>
  <si>
    <t>Tuesday</t>
  </si>
  <si>
    <t>n/a</t>
  </si>
  <si>
    <t>OL</t>
  </si>
  <si>
    <t>LB</t>
  </si>
  <si>
    <t>WR</t>
  </si>
  <si>
    <t>LEO</t>
  </si>
  <si>
    <t>RB</t>
  </si>
  <si>
    <t>TE</t>
  </si>
  <si>
    <t>CB</t>
  </si>
  <si>
    <t>DL</t>
  </si>
  <si>
    <t>QB</t>
  </si>
  <si>
    <t>Special Teams</t>
  </si>
  <si>
    <t>Acceleration B3 Efforts (Gen 2)2</t>
  </si>
  <si>
    <t>Above 90%?</t>
  </si>
  <si>
    <t>Athlete 1</t>
  </si>
  <si>
    <t>Athlete 2</t>
  </si>
  <si>
    <t>Athlete 3</t>
  </si>
  <si>
    <t>Athlete 4</t>
  </si>
  <si>
    <t>Athlete 5</t>
  </si>
  <si>
    <t>Athlete 6</t>
  </si>
  <si>
    <t>Athlete 7</t>
  </si>
  <si>
    <t>Athlete 8</t>
  </si>
  <si>
    <t>Athlete 9</t>
  </si>
  <si>
    <t>Athlete 10</t>
  </si>
  <si>
    <t>Athlete 11</t>
  </si>
  <si>
    <t>Athlete 12</t>
  </si>
  <si>
    <t>Athlete 13</t>
  </si>
  <si>
    <t>Athlete 14</t>
  </si>
  <si>
    <t>Athlete 15</t>
  </si>
  <si>
    <t>Athlete 16</t>
  </si>
  <si>
    <t>Athlete 17</t>
  </si>
  <si>
    <t>Athlete 18</t>
  </si>
  <si>
    <t>Athlete 19</t>
  </si>
  <si>
    <t>Athlete 20</t>
  </si>
  <si>
    <t>Athlete 21</t>
  </si>
  <si>
    <t>Athlete 22</t>
  </si>
  <si>
    <t>Athlete 23</t>
  </si>
  <si>
    <t>Athlete 24</t>
  </si>
  <si>
    <t>Athlete 25</t>
  </si>
  <si>
    <t>Athlete 26</t>
  </si>
  <si>
    <t>Athlete 27</t>
  </si>
  <si>
    <t>Athlete 28</t>
  </si>
  <si>
    <t>Athlete 29</t>
  </si>
  <si>
    <t>Athlete 30</t>
  </si>
  <si>
    <t>Athlete 31</t>
  </si>
  <si>
    <t>Athlete 32</t>
  </si>
  <si>
    <t>Athlete 33</t>
  </si>
  <si>
    <t>Athlete 34</t>
  </si>
  <si>
    <t>Athlete 35</t>
  </si>
  <si>
    <t>Athlete 36</t>
  </si>
  <si>
    <t>Athlete 37</t>
  </si>
  <si>
    <t>Athlete 38</t>
  </si>
  <si>
    <t>Athlete 39</t>
  </si>
  <si>
    <t>Athlete 40</t>
  </si>
  <si>
    <t>Athlete 41</t>
  </si>
  <si>
    <t>Athlete 42</t>
  </si>
  <si>
    <t>Athlete 43</t>
  </si>
  <si>
    <t>Athlete 44</t>
  </si>
  <si>
    <t>Athlete 45</t>
  </si>
  <si>
    <t>Athlete 46</t>
  </si>
  <si>
    <t>Athlete 47</t>
  </si>
  <si>
    <t>Athlete 48</t>
  </si>
  <si>
    <t>Athlete 49</t>
  </si>
  <si>
    <t>Athlete 50</t>
  </si>
  <si>
    <t>Athlete 51</t>
  </si>
  <si>
    <t>Athlete 52</t>
  </si>
  <si>
    <t>Athlete 53</t>
  </si>
  <si>
    <t>Athlete 54</t>
  </si>
  <si>
    <t>Athlete 55</t>
  </si>
  <si>
    <t>Athlete 56</t>
  </si>
  <si>
    <t>Athlete 57</t>
  </si>
  <si>
    <t>Athlete 58</t>
  </si>
  <si>
    <t>Athlete 59</t>
  </si>
  <si>
    <t>Athlete 60</t>
  </si>
  <si>
    <t>Athlete 61</t>
  </si>
  <si>
    <t>Athlete 62</t>
  </si>
  <si>
    <t>Athlete 63</t>
  </si>
  <si>
    <t>Athlete 64</t>
  </si>
  <si>
    <t>Athlete 65</t>
  </si>
  <si>
    <t>Athlete 66</t>
  </si>
  <si>
    <t>Athlete 67</t>
  </si>
  <si>
    <t>Athlete 68</t>
  </si>
  <si>
    <t>Athlete 69</t>
  </si>
  <si>
    <t>Athlete 70</t>
  </si>
  <si>
    <t>Athlete 71</t>
  </si>
  <si>
    <t>Athlete 72</t>
  </si>
  <si>
    <t>Athlete 73</t>
  </si>
  <si>
    <t>Athlete 74</t>
  </si>
  <si>
    <t>Athlete 75</t>
  </si>
  <si>
    <t>Athlete 76</t>
  </si>
  <si>
    <t>Athlete 77</t>
  </si>
  <si>
    <t>Athlete 78</t>
  </si>
  <si>
    <t>Athlete 79</t>
  </si>
  <si>
    <t>Athlete 80</t>
  </si>
  <si>
    <t>Athlete 81</t>
  </si>
  <si>
    <t>Athlete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</si>
</sst>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1" fontId="3" fillId="0" borderId="0" xfId="0" applyNumberFormat="1" applyFont="1"/>
    <xf numFmtId="0" fontId="0" fillId="2" borderId="0" xfId="0" applyFill="1"/>
  </cellXfs>
  <cellStyles count="1">
    <cellStyle name="Normal" xfId="0" builtinId="0"/>
  </cellStyles>
  <dxfs count="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FF8200"/>
      <color rgb="FFEA950C"/>
      <color rgb="FFFBAC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79DF6-6B22-BA4B-858F-1BF5EAF1D4C9}" name="GPS_Table" displayName="GPS_Table" ref="A1:DZ83" totalsRowShown="0" headerRowDxfId="131" dataDxfId="130">
  <autoFilter ref="A1:DZ83" xr:uid="{4F479DF6-6B22-BA4B-858F-1BF5EAF1D4C9}"/>
  <tableColumns count="130">
    <tableColumn id="1" xr3:uid="{210A0185-1EED-5847-B7C0-4D45AD6304DE}" name="Name" dataDxfId="129"/>
    <tableColumn id="2" xr3:uid="{96CEDEB0-752E-E845-ABE2-204781D9AAD8}" name="Position Name" dataDxfId="128"/>
    <tableColumn id="3" xr3:uid="{90D59BEF-BF93-9A46-BE87-1B9112C61438}" name="Day Name" dataDxfId="127"/>
    <tableColumn id="4" xr3:uid="{F4C5927C-CBBE-D547-9E77-E638D8031C2B}" name="Profile Max Velocity (mph)" dataDxfId="126"/>
    <tableColumn id="5" xr3:uid="{EA7B864C-D557-F647-A657-87C99B338A88}" name="Maximum Velocity (mph)" dataDxfId="125"/>
    <tableColumn id="6" xr3:uid="{31F1882C-C261-1442-BFA3-9FBDD7714C3E}" name="Max Vel (% Max)" dataDxfId="124"/>
    <tableColumn id="7" xr3:uid="{183CBA50-50E2-9646-B5F8-FABF3AC8AFC4}" name="Acceleration Density" dataDxfId="123"/>
    <tableColumn id="8" xr3:uid="{4DF2B34C-CF40-F641-BFFC-91450E330863}" name="Average Distance (y)" dataDxfId="122"/>
    <tableColumn id="9" xr3:uid="{D308D376-0642-FF48-A276-0E31372F4A90}" name="Average Distance (Session) (y)" dataDxfId="121"/>
    <tableColumn id="10" xr3:uid="{5A36B72B-A86E-6547-BECE-19FA1AF88B39}" name="Average Duration" dataDxfId="120"/>
    <tableColumn id="11" xr3:uid="{7D31E76D-6C3C-E343-98E5-E3815D72C650}" name="Average Duration (Session)" dataDxfId="119"/>
    <tableColumn id="12" xr3:uid="{7C6BFA3D-16D5-2445-B02D-A252AC342CBC}" name="Average Player Load (Session)" dataDxfId="118"/>
    <tableColumn id="13" xr3:uid="{5C0478AC-20CB-2D48-8FE9-061EA98CD444}" name="Average Player Load (period)" dataDxfId="117"/>
    <tableColumn id="14" xr3:uid="{469EEB5F-A2D6-5448-BB69-523A7F772D64}" name="Peak Player Load" dataDxfId="116"/>
    <tableColumn id="15" xr3:uid="{CBAEAB8E-2BEC-8C42-AE31-4CC72E238A05}" name="Player Load Per Minute" dataDxfId="115"/>
    <tableColumn id="16" xr3:uid="{7AB45849-8F13-6742-B228-F35D4C827C1C}" name="Total Player Load" dataDxfId="114"/>
    <tableColumn id="17" xr3:uid="{1DEE3B09-E1D6-EE48-8ADF-0A1DC29E76D6}" name="Total Acceleration Load" dataDxfId="113"/>
    <tableColumn id="18" xr3:uid="{BDA6772F-08A0-7C41-ACC6-3FBEE1E6C598}" name="Acceleration B1 Duration (Gen 2)" dataDxfId="112"/>
    <tableColumn id="19" xr3:uid="{1AFA21D6-657C-814D-BF9F-2BC0B463D829}" name="Acceleration B1 Distance (Gen 2) (y)" dataDxfId="111"/>
    <tableColumn id="20" xr3:uid="{1AF19DF2-0CDC-D042-851F-3F64D1795CCE}" name="Acceleration B1 Efforts (Gen 2)" dataDxfId="110"/>
    <tableColumn id="21" xr3:uid="{F22D8F7B-C665-004C-8DBB-8745D2D4C5C2}" name="Acceleration B2 Efforts (Gen 2)" dataDxfId="109"/>
    <tableColumn id="22" xr3:uid="{2DA49448-8B0B-504C-AD40-2351209F4A34}" name="Acceleration B2 Duration (Gen 2)" dataDxfId="108"/>
    <tableColumn id="23" xr3:uid="{E906987C-D2B6-3A48-A5F0-03024697B84D}" name="Acceleration B2 Distance (Gen 2) (y)" dataDxfId="107"/>
    <tableColumn id="24" xr3:uid="{F8061CFF-D0E0-A941-B188-5B73D218BE20}" name="Acceleration B3 Efforts (Gen 2)" dataDxfId="106"/>
    <tableColumn id="25" xr3:uid="{9B621107-D0A8-7F4C-8A87-8A3E2CB89FE5}" name="Acceleration B3 Distance (Gen 2) (y)" dataDxfId="105"/>
    <tableColumn id="26" xr3:uid="{5C2644FD-A7B1-D241-BF56-F312E3E62477}" name="Acceleration B3 Duration (Gen 2)" dataDxfId="104"/>
    <tableColumn id="27" xr3:uid="{297B23F3-3291-F54A-B98A-6A7CCBADF4B8}" name="Deceleration B1 Average Efforts (Session) (Gen 2)" dataDxfId="103"/>
    <tableColumn id="28" xr3:uid="{1FC8163D-CCF8-7A46-8AEF-B207170F87CD}" name="Deceleration B1 Distance (Gen 2) (y)" dataDxfId="102"/>
    <tableColumn id="29" xr3:uid="{72449664-AA41-DC42-8771-B1EE9A37455B}" name="Deceleration B1 Duration (Gen 2)" dataDxfId="101"/>
    <tableColumn id="30" xr3:uid="{C72DBACC-D5D5-4A4F-82CE-99701A0EC249}" name="Deceleration B1 Efforts (Gen 2)" dataDxfId="100"/>
    <tableColumn id="31" xr3:uid="{31B3928D-6DF6-B440-BB84-870450E6D6A9}" name="Deceleration B2 Average Efforts (Session) (Gen 2)" dataDxfId="99"/>
    <tableColumn id="32" xr3:uid="{E4E92891-15F2-B746-B65B-B4F6B9CC187A}" name="Deceleration B2 Distance (Gen 2) (y)" dataDxfId="98"/>
    <tableColumn id="33" xr3:uid="{A9988A24-A807-F544-A04B-7A20934AFDFD}" name="Deceleration B2 Duration (Gen 2)" dataDxfId="97"/>
    <tableColumn id="34" xr3:uid="{61D86479-C261-344D-AA8D-D69C2DA5CA10}" name="Deceleration B2 Efforts (Gen 2)" dataDxfId="96"/>
    <tableColumn id="35" xr3:uid="{89471EFB-F546-7346-AD3D-C48063D7C622}" name="Deceleration B3 Average Efforts (Session) (Gen 2)" dataDxfId="95"/>
    <tableColumn id="36" xr3:uid="{B1607D3F-11F3-0A4F-BCEA-6B6C5AE4F99A}" name="Deceleration B3 Distance (Gen 2) (y)" dataDxfId="94"/>
    <tableColumn id="37" xr3:uid="{7700D1AD-E1FD-3749-B916-26E8D9349146}" name="Deceleration B3 Duration (Gen 2)" dataDxfId="93"/>
    <tableColumn id="38" xr3:uid="{8B2EF2E7-6A83-A042-8191-7AF3D2C35573}" name="Deceleration B3 Efforts (Gen 2)" dataDxfId="92"/>
    <tableColumn id="39" xr3:uid="{D72BF10F-2453-ED4F-B725-928FF7512821}" name="Max Acceleration" dataDxfId="91"/>
    <tableColumn id="40" xr3:uid="{84D94D6F-384D-574B-9CCE-148D63FA1CE9}" name="Max Deceleration" dataDxfId="90"/>
    <tableColumn id="41" xr3:uid="{D525ADAE-9828-6749-AFDF-0B0B34DB0E8F}" name="60-75% Dist" dataDxfId="89"/>
    <tableColumn id="42" xr3:uid="{3E5CB7A0-EF45-F24C-881C-4C6E3E11AACA}" name="60-75% Effts" dataDxfId="88"/>
    <tableColumn id="43" xr3:uid="{031226DB-7962-7446-B1D7-540B1A6DA10E}" name="75-82% Dist" dataDxfId="87"/>
    <tableColumn id="44" xr3:uid="{20AA2971-06D0-A24E-A79B-5D4D4C016E4F}" name="75-82% Efforts" dataDxfId="86"/>
    <tableColumn id="45" xr3:uid="{3D7B2E5C-9615-C241-B22D-CE3B975D2375}" name="82%+ Distance Tempo1 (y)" dataDxfId="85"/>
    <tableColumn id="46" xr3:uid="{56FA2FBC-1593-D143-A544-5856601635B4}" name="82-90% Dist" dataDxfId="84"/>
    <tableColumn id="47" xr3:uid="{95B3C35D-3307-BF4B-8A33-5F81C1062413}" name="82-90% Efforts" dataDxfId="83"/>
    <tableColumn id="48" xr3:uid="{B40BC3AD-1FB6-2846-91B8-1461B2BDC2B6}" name="90%+ Avg Sprints (Session)" dataDxfId="82"/>
    <tableColumn id="49" xr3:uid="{7475554A-83F0-6542-8DFB-9CB3B772B2A4}" name="90%+ Dist" dataDxfId="81"/>
    <tableColumn id="50" xr3:uid="{0385C1D7-A39F-7540-A953-6D9BCFBAAEEA}" name="90%+ Sprints" dataDxfId="80"/>
    <tableColumn id="51" xr3:uid="{E2B500E7-1F28-AB49-9879-02054BAAA530}" name="Active Distance (y)" dataDxfId="79"/>
    <tableColumn id="52" xr3:uid="{7FDEC192-A01F-8947-BAE8-17E7EA70569C}" name="All Explosive Efforts (Acc &amp; Decel)" dataDxfId="78"/>
    <tableColumn id="53" xr3:uid="{C3BA9398-2109-3841-A329-DF84B3894034}" name="Average Explosive Efforts" dataDxfId="77"/>
    <tableColumn id="54" xr3:uid="{D508930B-9B16-CC49-BF8B-4EF28D44DEB3}" name="Average Hi-Intensity Efforts" dataDxfId="76"/>
    <tableColumn id="55" xr3:uid="{EF71A11F-697C-094B-B4B0-244EB0EEA3C4}" name="Hi-Intensity Efforts" dataDxfId="75"/>
    <tableColumn id="56" xr3:uid="{9B09F9D3-5EDE-C547-AD87-8C28FC85C001}" name="Hard AC" dataDxfId="74"/>
    <tableColumn id="57" xr3:uid="{4EA118A8-7F75-B645-B0B6-FC16474E0B19}" name="Hard DC" dataDxfId="73"/>
    <tableColumn id="58" xr3:uid="{432D346A-D47A-3443-8059-6EE14E808E92}" name="High Speed Distance (&gt;12mph) (y)" dataDxfId="72"/>
    <tableColumn id="59" xr3:uid="{0750D921-DB9C-FA43-A9C0-B19287B0CC47}" name="High Speed Distance (&gt;14mph) (y)" dataDxfId="71"/>
    <tableColumn id="60" xr3:uid="{792F8322-1495-B24E-9656-3302DFFD1AEA}" name="High Speed Distance (&gt;16mph) (y)" dataDxfId="70"/>
    <tableColumn id="61" xr3:uid="{CAB474B0-27B7-4E42-B5B0-165DDAC469EF}" name="High Speed Distance (&gt;18 mph) (y)" dataDxfId="69"/>
    <tableColumn id="62" xr3:uid="{01C7FB17-CFD0-D044-A91D-5BEB0B41C707}" name="High Speed Efforts (&gt;12mph)" dataDxfId="68"/>
    <tableColumn id="63" xr3:uid="{1E97F7C9-EEA0-3A44-A98D-5221AF571517}" name="High Speed Efforts (&gt;14mph)" dataDxfId="67"/>
    <tableColumn id="64" xr3:uid="{FB5C590C-654B-7649-9156-63970588A6D9}" name="High Speed Efforts (&gt;16mph)" dataDxfId="66"/>
    <tableColumn id="65" xr3:uid="{833FAEAE-5618-354F-A970-650AE431A565}" name="High Speed Efforts (&gt;18mph)" dataDxfId="65"/>
    <tableColumn id="66" xr3:uid="{5E4F6AC8-20F2-094E-BFC7-0D786D5CB611}" name="Field Time" dataDxfId="64"/>
    <tableColumn id="67" xr3:uid="{F36FABE8-8366-5C4A-9591-1E3E2C19EC20}" name="MII Distance Interval 1 (y)" dataDxfId="63"/>
    <tableColumn id="68" xr3:uid="{D880881B-3282-F949-B5DF-542DB710C177}" name="MII Distance Interval 2 (y)" dataDxfId="62"/>
    <tableColumn id="69" xr3:uid="{DC1226F1-9972-7D41-8A49-9316E55E7181}" name="MII Distance Interval 3 (y)" dataDxfId="61"/>
    <tableColumn id="70" xr3:uid="{44C01C8F-3A09-0046-A7DE-EFE207E72F3F}" name="Velocity B2+ Average Effort Distance (Gen 2) (y)" dataDxfId="60"/>
    <tableColumn id="71" xr3:uid="{C5882966-8E7E-5149-870A-D1C620364C2C}" name="Velocity B2+ Total # Efforts (Gen 2)" dataDxfId="59"/>
    <tableColumn id="72" xr3:uid="{8D6728A8-3749-DF47-B24C-6DAC8C3CACC6}" name="Velocity B3+ Average Effort Distance (Gen 2) (y)" dataDxfId="58"/>
    <tableColumn id="73" xr3:uid="{F68CCC58-E8DB-7F47-884C-F2E474DF6064}" name="Velocity B3+ Total # Efforts (Gen 2)" dataDxfId="57"/>
    <tableColumn id="74" xr3:uid="{D9A5F04F-EA1E-1142-BC5C-CA7609B6C006}" name="Velocity B4+ Average Effort Distance (Gen 2) (y)" dataDxfId="56"/>
    <tableColumn id="75" xr3:uid="{B10A2208-88E4-5C41-9143-044E1E371EF1}" name="Velocity B4+ Maximum Effort Distance (Gen 2) (y)" dataDxfId="55"/>
    <tableColumn id="76" xr3:uid="{E9F8291A-6A82-1548-BA8A-91F383356812}" name="Velocity B4+ Minimum Effort Distance (Gen 2) (y)" dataDxfId="54"/>
    <tableColumn id="77" xr3:uid="{2C166CDE-7619-964D-8B52-1C95707407B2}" name="Velocity B4+ Total # Efforts (Gen 2)" dataDxfId="53"/>
    <tableColumn id="78" xr3:uid="{1C5AF143-97A3-8348-94CE-6CA43FB457C9}" name="Velocity B5+ Average Effort Distance (Gen 2) (y)" dataDxfId="52"/>
    <tableColumn id="79" xr3:uid="{28803B14-E1C5-BA4E-982E-BF4E63BC85F8}" name="Velocity B5+ Maximum Effort Distance (Gen 2) (y)" dataDxfId="51"/>
    <tableColumn id="80" xr3:uid="{C6DDD38C-16B7-E74E-BBF5-2AED40033062}" name="Velocity B5+ Minimum Effort Distance (Gen 2) (y)" dataDxfId="50"/>
    <tableColumn id="81" xr3:uid="{FECB5E72-5F3B-B741-993A-6303EEADE82D}" name="Velocity B5+ Total # Efforts (Gen 2)" dataDxfId="49"/>
    <tableColumn id="82" xr3:uid="{4660C53E-E495-AE46-A898-BD2AAE64755A}" name="Velocity B6+ Average Effort Distance (Gen 2) (y)" dataDxfId="48"/>
    <tableColumn id="83" xr3:uid="{D1071D27-0D00-AB48-8475-AB1166F6EF9C}" name="Velocity B6+ Maximum Effort Distance (Gen 2) (y)" dataDxfId="47"/>
    <tableColumn id="84" xr3:uid="{BE37BCE6-9F75-3E46-9025-8DB2A9C8BD05}" name="Velocity B6+ Minimum Effort Distance (Gen 2) (y)" dataDxfId="46"/>
    <tableColumn id="85" xr3:uid="{11B7C6B3-C0DA-C943-AD61-4B417C21C0F4}" name="Velocity B6+ Total # Efforts (Gen 2)" dataDxfId="45"/>
    <tableColumn id="86" xr3:uid="{54C397E2-9FE3-9644-9194-EBDDCA6CAB82}" name="Velocity B7+ Average Effort Distance (Gen 2) (y)" dataDxfId="44"/>
    <tableColumn id="87" xr3:uid="{DF48BF55-F03A-0447-9E9D-77BC77EC85CD}" name="Velocity B7+ Maximum Effort Distance (Gen 2) (y)" dataDxfId="43"/>
    <tableColumn id="88" xr3:uid="{867B93D6-9EDB-A348-854C-55067A9A8418}" name="Velocity B7+ Minimum Effort Distance (Gen 2) (y)" dataDxfId="42"/>
    <tableColumn id="89" xr3:uid="{AF6ECC83-528F-5E42-BA4B-97047A1AD7F1}" name="Velocity B7+ Total # Efforts (Gen 2)" dataDxfId="41"/>
    <tableColumn id="90" xr3:uid="{E37CAC62-795B-F94F-A5C2-A63F2B49F813}" name="Velocity B8 Average Effort Distance (Gen 2) (y)" dataDxfId="40"/>
    <tableColumn id="91" xr3:uid="{EFFA8D46-7905-ED44-85DD-3524B161F8DA}" name="Velocity B8 Maximum Effort Distance (Gen 2) (y)" dataDxfId="39"/>
    <tableColumn id="92" xr3:uid="{F37A0F51-B353-DE47-B206-4C19982BE907}" name="Velocity B8 Minimum Effort Distance (Gen 2) (y)" dataDxfId="38"/>
    <tableColumn id="93" xr3:uid="{A8AB9AA3-E285-F94A-92AA-019D4EB47817}" name="Velocity B8 Total # Efforts (Gen 2)" dataDxfId="37"/>
    <tableColumn id="94" xr3:uid="{4139F44E-1AF1-7442-BC84-A70B86D3127C}" name="Velocity B2+ Average Effort Distance (Gen 2) (Set 2) (y)" dataDxfId="36"/>
    <tableColumn id="95" xr3:uid="{C3674AE1-0E85-3C4F-B2BF-90D9D500FD9E}" name="Velocity B2+ Total # Efforts (Gen 2) (Set 2)" dataDxfId="35"/>
    <tableColumn id="96" xr3:uid="{301200DD-40CD-4741-A877-FE0FFF219BF9}" name="Velocity B3+ Average Effort Distance (Gen 2) (Set 2) (y)" dataDxfId="34"/>
    <tableColumn id="97" xr3:uid="{A041C6A6-F075-8249-9B85-49FAD9C70B42}" name="Velocity B3+ Total # Efforts (Gen 2) (Set 2)" dataDxfId="33"/>
    <tableColumn id="98" xr3:uid="{E615FCF9-9E67-4F42-9BE6-9B1144CB9D25}" name="Velocity B4+ Average Effort Distance (Gen 2) (Set 2) (y)" dataDxfId="32"/>
    <tableColumn id="99" xr3:uid="{37F8B62D-5480-AC4A-89EB-CB0F952253D7}" name="Velocity B4+ Maximum Effort Distance (Gen 2) (Set 2) (y)" dataDxfId="31"/>
    <tableColumn id="100" xr3:uid="{04B5A0C0-99DC-5D42-BE65-9A8DC4F21B98}" name="Velocity B4+ Minimum Effort Distance (Gen 2) (Set 2) (y)" dataDxfId="30"/>
    <tableColumn id="101" xr3:uid="{C050456E-8FF7-2044-A365-3C46570C10F0}" name="Velocity B4+ Total # Efforts (Gen 2) (Set 2)" dataDxfId="29"/>
    <tableColumn id="102" xr3:uid="{B9F27002-AB66-C841-840E-291CF138B743}" name="Velocity B5+ Average Effort Distance (Gen 2) (Set 2) (y)" dataDxfId="28"/>
    <tableColumn id="103" xr3:uid="{A40171F7-BA68-4D43-A055-5C52EE0A66F7}" name="Velocity B5+ Maximum Effort Distance (Gen 2) (Set 2) (y)" dataDxfId="27"/>
    <tableColumn id="104" xr3:uid="{3160AA5A-E178-0246-8847-36EC9ECDE091}" name="Velocity B5+ Minimum Effort Distance (Gen 2) (Set 2) (y)" dataDxfId="26"/>
    <tableColumn id="105" xr3:uid="{ADAB81FF-B90D-9E40-9415-0419B30F4ADB}" name="Velocity B5+ Total # Efforts (Gen 2) (Set 2)" dataDxfId="25"/>
    <tableColumn id="106" xr3:uid="{17A04531-40DC-CA47-B329-B2EEF6CA7F68}" name="Velocity B6+ Average Effort Distance (Gen 2) (Set 2) (y)" dataDxfId="24"/>
    <tableColumn id="107" xr3:uid="{DF7A6279-294C-F24D-8214-9DA37C0CDEEB}" name="Velocity B6+ Maximum Effort Distance (Gen 2) (Set 2) (y)" dataDxfId="23"/>
    <tableColumn id="108" xr3:uid="{56732DA1-1519-AB4F-9546-7D0F607A2656}" name="Velocity B6+ Minimum Effort Distance (Gen 2) (Set 2) (y)" dataDxfId="22"/>
    <tableColumn id="109" xr3:uid="{4354A256-7947-D14D-AB51-75FB36996F5F}" name="Velocity B6+ Total # Efforts (Gen 2) (Set 2)" dataDxfId="21"/>
    <tableColumn id="110" xr3:uid="{B4DDF244-EA55-3C4E-B0A3-1443A0E00C58}" name="Velocity B7+ Average Effort Distance (Gen 2) (Set 2) (y)" dataDxfId="20"/>
    <tableColumn id="111" xr3:uid="{1DA8AC69-AE56-2A4C-A87F-F863A0B2CEDB}" name="Velocity B7+ Maximum Effort Distance (Gen 2) (Set 2) (y)" dataDxfId="19"/>
    <tableColumn id="112" xr3:uid="{56978880-092D-2944-8B06-BA7F8024F385}" name="Velocity B7+ Minimum Effort Distance (Gen 2) (Set 2) (y)" dataDxfId="18"/>
    <tableColumn id="113" xr3:uid="{5E600F7C-C1E2-CE43-A295-B50780EC7092}" name="Velocity B7+ Total # Efforts (Gen 2) (Set 2)" dataDxfId="17"/>
    <tableColumn id="114" xr3:uid="{54F5D292-6D18-F44E-8547-46D206B4007D}" name="Velocity B8 Average Effort Distance (Gen 2) (Set 2) (y)" dataDxfId="16"/>
    <tableColumn id="115" xr3:uid="{6C50708A-9954-CB4C-833B-F9A052774D49}" name="Velocity B8 Maximum Effort Distance (Gen 2) (Set 2) (y)" dataDxfId="15"/>
    <tableColumn id="116" xr3:uid="{0924C794-9607-C945-848B-1F132DAAE4A0}" name="Velocity B8 Minimum Effort Distance (Gen 2) (Set 2) (y)" dataDxfId="14"/>
    <tableColumn id="117" xr3:uid="{D98EB040-4D35-1849-93F0-5E0BECE1078E}" name="Velocity B8 Total # Efforts (Gen 2) (Set 2)" dataDxfId="13"/>
    <tableColumn id="118" xr3:uid="{1639F2C1-751B-8F41-8D64-8A31C4E299FB}" name="Very High Speed Distance" dataDxfId="12"/>
    <tableColumn id="119" xr3:uid="{35230F93-3171-6746-90AD-7A049232BD62}" name="Intensity" dataDxfId="11"/>
    <tableColumn id="120" xr3:uid="{8A98744B-1013-6B46-B644-5BCFBD9AC081}" name="Acceleration Density Index" dataDxfId="10"/>
    <tableColumn id="121" xr3:uid="{992A0D3F-D25A-2848-87D6-F11BB8E47A12}" name="3-5+ Acc &amp; Decel Distance (y)" dataDxfId="9"/>
    <tableColumn id="122" xr3:uid="{2DFACC33-6A89-A343-A012-C63274B365E2}" name="3-5+ Acc &amp; Decel Effs" dataDxfId="8"/>
    <tableColumn id="123" xr3:uid="{F7D6BF5A-1898-5843-B325-D8301AB08F57}" name="Explosive Ratio" dataDxfId="7"/>
    <tableColumn id="124" xr3:uid="{FF31938C-0ECA-D744-A00F-A8AC724AE56C}" name="Hi Speed % 12mph+" dataDxfId="6"/>
    <tableColumn id="125" xr3:uid="{0381BBD0-6DDA-4745-8929-C803532C3F2B}" name="Total Running Distance (y)" dataDxfId="5"/>
    <tableColumn id="126" xr3:uid="{015EDF64-A80B-7C4B-8117-F1069AA2F305}" name="Inactive Time" dataDxfId="4"/>
    <tableColumn id="127" xr3:uid="{7056971C-3900-774C-8143-941F4A077254}" name="Explosive Efforts+" dataDxfId="3"/>
    <tableColumn id="128" xr3:uid="{2CD6B2BE-8C91-2647-B498-A4A7DDBD77A1}" name="Acceleration B3 Efforts (Gen 2)2" dataDxfId="2"/>
    <tableColumn id="129" xr3:uid="{7757FCF3-F52A-1644-9E38-214BC875235B}" name="Total Duration" dataDxfId="1"/>
    <tableColumn id="131" xr3:uid="{3C3B1FD3-278D-C54E-B0C0-25FBA469F641}" name="Above 90%?" dataDxfId="0">
      <calculatedColumnFormula>IF(GPS_Table[[#This Row],[Max Vel (% Max)]] &gt;= 90, 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995"/>
  <sheetViews>
    <sheetView tabSelected="1" zoomScaleNormal="100" workbookViewId="0">
      <selection activeCell="A15" sqref="A15"/>
    </sheetView>
  </sheetViews>
  <sheetFormatPr baseColWidth="10" defaultColWidth="12.6640625" defaultRowHeight="15" customHeight="1" x14ac:dyDescent="0.2"/>
  <cols>
    <col min="1" max="1" width="14.83203125" bestFit="1" customWidth="1"/>
    <col min="2" max="2" width="14.83203125" customWidth="1"/>
    <col min="3" max="3" width="11.1640625" customWidth="1"/>
    <col min="4" max="4" width="23.5" customWidth="1"/>
    <col min="5" max="5" width="22.5" customWidth="1"/>
    <col min="6" max="6" width="15.33203125" customWidth="1"/>
    <col min="7" max="7" width="19.6640625" customWidth="1"/>
    <col min="8" max="8" width="19" customWidth="1"/>
    <col min="9" max="9" width="26.5" customWidth="1"/>
    <col min="10" max="10" width="16.83203125" customWidth="1"/>
    <col min="11" max="11" width="24.33203125" customWidth="1"/>
    <col min="12" max="12" width="26.33203125" customWidth="1"/>
    <col min="13" max="13" width="25.33203125" customWidth="1"/>
    <col min="14" max="14" width="16.33203125" customWidth="1"/>
    <col min="15" max="15" width="21.1640625" customWidth="1"/>
    <col min="16" max="16" width="16.5" customWidth="1"/>
    <col min="17" max="17" width="21.5" customWidth="1"/>
    <col min="18" max="18" width="28.6640625" customWidth="1"/>
    <col min="19" max="19" width="30.83203125" customWidth="1"/>
    <col min="20" max="21" width="27" customWidth="1"/>
    <col min="22" max="22" width="28.6640625" customWidth="1"/>
    <col min="23" max="23" width="30.83203125" customWidth="1"/>
    <col min="24" max="24" width="27" customWidth="1"/>
    <col min="25" max="25" width="30.83203125" customWidth="1"/>
    <col min="26" max="26" width="28.6640625" customWidth="1"/>
    <col min="27" max="27" width="41.33203125" customWidth="1"/>
    <col min="28" max="28" width="31.1640625" customWidth="1"/>
    <col min="29" max="29" width="29" customWidth="1"/>
    <col min="30" max="30" width="27.33203125" customWidth="1"/>
    <col min="31" max="31" width="41.33203125" customWidth="1"/>
    <col min="32" max="32" width="31.1640625" customWidth="1"/>
    <col min="33" max="33" width="29" customWidth="1"/>
    <col min="34" max="34" width="27.33203125" customWidth="1"/>
    <col min="35" max="35" width="41.33203125" customWidth="1"/>
    <col min="36" max="36" width="31.1640625" customWidth="1"/>
    <col min="37" max="37" width="29" customWidth="1"/>
    <col min="38" max="38" width="27.33203125" customWidth="1"/>
    <col min="39" max="39" width="16.6640625" customWidth="1"/>
    <col min="40" max="40" width="17" customWidth="1"/>
    <col min="41" max="41" width="12.83203125" customWidth="1"/>
    <col min="42" max="42" width="13.1640625" customWidth="1"/>
    <col min="43" max="43" width="12.83203125" customWidth="1"/>
    <col min="44" max="44" width="14.83203125" customWidth="1"/>
    <col min="45" max="45" width="23.83203125" customWidth="1"/>
    <col min="46" max="46" width="12.83203125" customWidth="1"/>
    <col min="47" max="47" width="14.83203125" customWidth="1"/>
    <col min="48" max="48" width="24.33203125" customWidth="1"/>
    <col min="49" max="49" width="11.33203125" customWidth="1"/>
    <col min="50" max="50" width="13.83203125" customWidth="1"/>
    <col min="51" max="51" width="17.6640625" customWidth="1"/>
    <col min="52" max="52" width="29.1640625" customWidth="1"/>
    <col min="53" max="53" width="23" customWidth="1"/>
    <col min="54" max="54" width="24.6640625" customWidth="1"/>
    <col min="55" max="55" width="18.1640625" customWidth="1"/>
    <col min="56" max="56" width="9.6640625" customWidth="1"/>
    <col min="57" max="57" width="9.83203125" customWidth="1"/>
    <col min="58" max="60" width="29.5" customWidth="1"/>
    <col min="61" max="61" width="29.83203125" customWidth="1"/>
    <col min="62" max="65" width="25.6640625" customWidth="1"/>
    <col min="66" max="66" width="11.5" customWidth="1"/>
    <col min="67" max="69" width="22.83203125" customWidth="1"/>
    <col min="70" max="70" width="39.5" customWidth="1"/>
    <col min="71" max="71" width="29.83203125" customWidth="1"/>
    <col min="72" max="72" width="39.5" customWidth="1"/>
    <col min="73" max="73" width="29.83203125" customWidth="1"/>
    <col min="74" max="74" width="39.5" customWidth="1"/>
    <col min="75" max="75" width="40.83203125" customWidth="1"/>
    <col min="76" max="76" width="40.6640625" customWidth="1"/>
    <col min="77" max="77" width="29.83203125" customWidth="1"/>
    <col min="78" max="78" width="39.5" customWidth="1"/>
    <col min="79" max="79" width="40.83203125" customWidth="1"/>
    <col min="80" max="80" width="40.6640625" customWidth="1"/>
    <col min="81" max="81" width="29.83203125" customWidth="1"/>
    <col min="82" max="82" width="39.5" customWidth="1"/>
    <col min="83" max="83" width="40.83203125" customWidth="1"/>
    <col min="84" max="84" width="40.6640625" customWidth="1"/>
    <col min="85" max="85" width="29.83203125" customWidth="1"/>
    <col min="86" max="86" width="39.5" customWidth="1"/>
    <col min="87" max="87" width="40.83203125" customWidth="1"/>
    <col min="88" max="88" width="40.6640625" customWidth="1"/>
    <col min="89" max="89" width="29.83203125" customWidth="1"/>
    <col min="90" max="90" width="38.5" customWidth="1"/>
    <col min="91" max="91" width="39.83203125" customWidth="1"/>
    <col min="92" max="92" width="39.6640625" customWidth="1"/>
    <col min="93" max="93" width="28.83203125" customWidth="1"/>
    <col min="94" max="94" width="44.83203125" customWidth="1"/>
    <col min="95" max="95" width="35.1640625" customWidth="1"/>
    <col min="96" max="96" width="44.83203125" customWidth="1"/>
    <col min="97" max="97" width="35.1640625" customWidth="1"/>
    <col min="98" max="98" width="44.83203125" customWidth="1"/>
    <col min="99" max="99" width="46.1640625" customWidth="1"/>
    <col min="100" max="100" width="46" customWidth="1"/>
    <col min="101" max="101" width="35.1640625" customWidth="1"/>
    <col min="102" max="102" width="44.83203125" customWidth="1"/>
    <col min="103" max="103" width="46.1640625" customWidth="1"/>
    <col min="104" max="104" width="46" customWidth="1"/>
    <col min="105" max="105" width="35.1640625" customWidth="1"/>
    <col min="106" max="106" width="44.83203125" customWidth="1"/>
    <col min="107" max="107" width="46.1640625" customWidth="1"/>
    <col min="108" max="108" width="46" customWidth="1"/>
    <col min="109" max="109" width="35.1640625" customWidth="1"/>
    <col min="110" max="110" width="44.83203125" customWidth="1"/>
    <col min="111" max="111" width="46.1640625" customWidth="1"/>
    <col min="112" max="112" width="46" customWidth="1"/>
    <col min="113" max="113" width="35.1640625" customWidth="1"/>
    <col min="114" max="114" width="43.83203125" customWidth="1"/>
    <col min="115" max="115" width="45.1640625" customWidth="1"/>
    <col min="116" max="116" width="45" customWidth="1"/>
    <col min="117" max="117" width="34.1640625" customWidth="1"/>
    <col min="118" max="118" width="26.1640625" customWidth="1"/>
    <col min="119" max="119" width="10.5" customWidth="1"/>
    <col min="120" max="120" width="24.33203125" customWidth="1"/>
    <col min="121" max="121" width="25.6640625" customWidth="1"/>
    <col min="122" max="122" width="19.5" customWidth="1"/>
    <col min="123" max="123" width="15.33203125" customWidth="1"/>
    <col min="124" max="124" width="19" customWidth="1"/>
    <col min="125" max="125" width="23.33203125" customWidth="1"/>
    <col min="126" max="126" width="13.83203125" customWidth="1"/>
    <col min="127" max="127" width="17.5" customWidth="1"/>
    <col min="128" max="128" width="28" customWidth="1"/>
    <col min="129" max="129" width="14.5" customWidth="1"/>
  </cols>
  <sheetData>
    <row r="1" spans="1:140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141</v>
      </c>
      <c r="DY1" s="1" t="s">
        <v>127</v>
      </c>
      <c r="DZ1" t="s">
        <v>142</v>
      </c>
    </row>
    <row r="2" spans="1:140" ht="14.25" customHeight="1" x14ac:dyDescent="0.2">
      <c r="A2" s="1" t="s">
        <v>143</v>
      </c>
      <c r="B2" s="1" t="s">
        <v>137</v>
      </c>
      <c r="C2" s="1" t="s">
        <v>129</v>
      </c>
      <c r="D2" s="1">
        <v>22</v>
      </c>
      <c r="E2" s="1">
        <v>17.018699999999999</v>
      </c>
      <c r="F2" s="1">
        <v>77.357740000000007</v>
      </c>
      <c r="G2" s="1">
        <v>0.22953999999999999</v>
      </c>
      <c r="H2" s="1">
        <v>323.40751</v>
      </c>
      <c r="I2" s="1">
        <v>5497.9276399999999</v>
      </c>
      <c r="J2" s="3">
        <v>6.053240740740741E-3</v>
      </c>
      <c r="K2" s="3">
        <v>0.1030787037037037</v>
      </c>
      <c r="L2" s="1">
        <v>425.48572999999999</v>
      </c>
      <c r="M2" s="1">
        <v>25.028569999999998</v>
      </c>
      <c r="N2" s="1">
        <v>4.9386200000000002</v>
      </c>
      <c r="O2" s="1">
        <v>2.8662100000000001</v>
      </c>
      <c r="P2" s="1">
        <v>425.48572999999999</v>
      </c>
      <c r="Q2" s="1">
        <v>2044.49118</v>
      </c>
      <c r="R2" s="3">
        <v>5.6712962962962967E-4</v>
      </c>
      <c r="S2" s="1">
        <v>225.85301999999999</v>
      </c>
      <c r="T2" s="1">
        <v>41</v>
      </c>
      <c r="U2" s="1">
        <v>9</v>
      </c>
      <c r="V2" s="3">
        <v>9.2592592592592588E-5</v>
      </c>
      <c r="W2" s="1">
        <v>32.392829999999996</v>
      </c>
      <c r="X2" s="1">
        <v>1</v>
      </c>
      <c r="Y2" s="1">
        <v>1.2029700000000001</v>
      </c>
      <c r="Z2" s="3">
        <v>0</v>
      </c>
      <c r="AA2" s="1">
        <v>28</v>
      </c>
      <c r="AB2" s="1">
        <v>44.378830000000001</v>
      </c>
      <c r="AC2" s="3">
        <v>3.1250000000000001E-4</v>
      </c>
      <c r="AD2" s="1">
        <v>28</v>
      </c>
      <c r="AE2" s="1">
        <v>3</v>
      </c>
      <c r="AF2" s="1">
        <v>4.24322</v>
      </c>
      <c r="AG2" s="3">
        <v>3.4722222222222222E-5</v>
      </c>
      <c r="AH2" s="1">
        <v>3</v>
      </c>
      <c r="AI2" s="1">
        <v>0</v>
      </c>
      <c r="AJ2" s="1">
        <v>0.27339999999999998</v>
      </c>
      <c r="AK2" s="3">
        <v>0</v>
      </c>
      <c r="AL2" s="1">
        <v>0</v>
      </c>
      <c r="AM2" s="1">
        <v>5.3987699999999998</v>
      </c>
      <c r="AN2" s="1">
        <v>-4.8937400000000002</v>
      </c>
      <c r="AO2" s="1">
        <v>63.877949999999998</v>
      </c>
      <c r="AP2" s="1">
        <v>7</v>
      </c>
      <c r="AQ2" s="1">
        <v>8.9129500000000004</v>
      </c>
      <c r="AR2" s="1">
        <v>1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2961.4009799999999</v>
      </c>
      <c r="AZ2" s="1">
        <v>82</v>
      </c>
      <c r="BA2" s="1">
        <v>82</v>
      </c>
      <c r="BB2" s="1">
        <v>13</v>
      </c>
      <c r="BC2" s="1">
        <v>13</v>
      </c>
      <c r="BD2" s="1">
        <v>10</v>
      </c>
      <c r="BE2" s="1">
        <v>3</v>
      </c>
      <c r="BF2" s="1">
        <v>72.790899999999993</v>
      </c>
      <c r="BG2" s="1">
        <v>8.9129500000000004</v>
      </c>
      <c r="BH2" s="1">
        <v>0</v>
      </c>
      <c r="BI2" s="1">
        <v>0</v>
      </c>
      <c r="BJ2" s="1">
        <v>8</v>
      </c>
      <c r="BK2" s="1">
        <v>0</v>
      </c>
      <c r="BL2" s="1">
        <v>179.67358999999999</v>
      </c>
      <c r="BM2" s="1">
        <v>0</v>
      </c>
      <c r="BN2" s="3">
        <v>0.1030787037037037</v>
      </c>
      <c r="BO2" s="1" t="s">
        <v>130</v>
      </c>
      <c r="BP2" s="1" t="s">
        <v>130</v>
      </c>
      <c r="BQ2" s="1" t="s">
        <v>130</v>
      </c>
      <c r="BR2" s="1">
        <v>13.9057</v>
      </c>
      <c r="BS2" s="1">
        <v>191</v>
      </c>
      <c r="BT2" s="1">
        <v>13.118639999999999</v>
      </c>
      <c r="BU2" s="1">
        <v>47</v>
      </c>
      <c r="BV2" s="1">
        <v>8.6950000000000003</v>
      </c>
      <c r="BW2" s="1">
        <v>28.17897</v>
      </c>
      <c r="BX2" s="1">
        <v>1.9444600000000001</v>
      </c>
      <c r="BY2" s="1">
        <v>23</v>
      </c>
      <c r="BZ2" s="1">
        <v>9.3022600000000004</v>
      </c>
      <c r="CA2" s="1">
        <v>22.740539999999999</v>
      </c>
      <c r="CB2" s="1">
        <v>0</v>
      </c>
      <c r="CC2" s="1">
        <v>7</v>
      </c>
      <c r="CD2" s="1">
        <v>7.2935100000000004</v>
      </c>
      <c r="CE2" s="1">
        <v>7.2935100000000004</v>
      </c>
      <c r="CF2" s="1">
        <v>7.2935100000000004</v>
      </c>
      <c r="CG2" s="1">
        <v>1</v>
      </c>
      <c r="CH2" s="1" t="s">
        <v>130</v>
      </c>
      <c r="CI2" s="1" t="s">
        <v>130</v>
      </c>
      <c r="CJ2" s="1" t="s">
        <v>130</v>
      </c>
      <c r="CK2" s="1">
        <v>0</v>
      </c>
      <c r="CL2" s="1" t="s">
        <v>130</v>
      </c>
      <c r="CM2" s="1" t="s">
        <v>130</v>
      </c>
      <c r="CN2" s="1" t="s">
        <v>130</v>
      </c>
      <c r="CO2" s="1">
        <v>0</v>
      </c>
      <c r="CP2" s="1">
        <v>13.9057</v>
      </c>
      <c r="CQ2" s="1">
        <v>191</v>
      </c>
      <c r="CR2" s="1">
        <v>13.118639999999999</v>
      </c>
      <c r="CS2" s="1">
        <v>47</v>
      </c>
      <c r="CT2" s="1">
        <v>8.6950000000000003</v>
      </c>
      <c r="CU2" s="1">
        <v>28.17897</v>
      </c>
      <c r="CV2" s="1">
        <v>1.9444600000000001</v>
      </c>
      <c r="CW2" s="1">
        <v>23</v>
      </c>
      <c r="CX2" s="1">
        <v>9.3022600000000004</v>
      </c>
      <c r="CY2" s="1">
        <v>22.740539999999999</v>
      </c>
      <c r="CZ2" s="1">
        <v>0</v>
      </c>
      <c r="DA2" s="1">
        <v>7</v>
      </c>
      <c r="DB2" s="1">
        <v>7.2935100000000004</v>
      </c>
      <c r="DC2" s="1">
        <v>7.2935100000000004</v>
      </c>
      <c r="DD2" s="1">
        <v>7.2935100000000004</v>
      </c>
      <c r="DE2" s="1">
        <v>1</v>
      </c>
      <c r="DF2" s="1" t="s">
        <v>130</v>
      </c>
      <c r="DG2" s="1" t="s">
        <v>130</v>
      </c>
      <c r="DH2" s="1" t="s">
        <v>130</v>
      </c>
      <c r="DI2" s="1">
        <v>0</v>
      </c>
      <c r="DJ2" s="1" t="s">
        <v>130</v>
      </c>
      <c r="DK2" s="1" t="s">
        <v>130</v>
      </c>
      <c r="DL2" s="1" t="s">
        <v>130</v>
      </c>
      <c r="DM2" s="1">
        <v>0</v>
      </c>
      <c r="DN2" s="1">
        <v>0</v>
      </c>
      <c r="DO2" s="1">
        <v>20.05226</v>
      </c>
      <c r="DP2" s="1">
        <v>3.7186599999999999</v>
      </c>
      <c r="DQ2" s="1">
        <v>38.11242</v>
      </c>
      <c r="DR2" s="1">
        <v>13</v>
      </c>
      <c r="DS2" s="1">
        <v>1.8802000000000001</v>
      </c>
      <c r="DT2" s="1">
        <v>1.3239700000000001</v>
      </c>
      <c r="DU2" s="1">
        <v>2954.6041</v>
      </c>
      <c r="DV2" s="1">
        <v>135.89333999999999</v>
      </c>
      <c r="DW2" s="1">
        <v>82</v>
      </c>
      <c r="DX2" s="1">
        <v>1</v>
      </c>
      <c r="DY2" s="3">
        <v>0.1030787037037037</v>
      </c>
      <c r="DZ2" t="str">
        <f>IF(GPS_Table[[#This Row],[Max Vel (% Max)]] &gt;= 90, "YES", "NO")</f>
        <v>NO</v>
      </c>
    </row>
    <row r="3" spans="1:140" ht="14.25" customHeight="1" x14ac:dyDescent="0.2">
      <c r="A3" s="1" t="s">
        <v>144</v>
      </c>
      <c r="B3" s="1" t="s">
        <v>137</v>
      </c>
      <c r="C3" s="1" t="s">
        <v>129</v>
      </c>
      <c r="D3" s="1">
        <v>21.400010000000002</v>
      </c>
      <c r="E3" s="1">
        <v>15.440860000000001</v>
      </c>
      <c r="F3" s="1">
        <v>72.153540000000007</v>
      </c>
      <c r="G3" s="1">
        <v>0.21267</v>
      </c>
      <c r="H3" s="1">
        <v>312.43975</v>
      </c>
      <c r="I3" s="1">
        <v>5311.47577</v>
      </c>
      <c r="J3" s="3">
        <v>6.053240740740741E-3</v>
      </c>
      <c r="K3" s="3">
        <v>0.1030787037037037</v>
      </c>
      <c r="L3" s="1">
        <v>409.00175000000002</v>
      </c>
      <c r="M3" s="1">
        <v>24.05893</v>
      </c>
      <c r="N3" s="1">
        <v>5.50589</v>
      </c>
      <c r="O3" s="1">
        <v>2.7551700000000001</v>
      </c>
      <c r="P3" s="1">
        <v>409.00175000000002</v>
      </c>
      <c r="Q3" s="1">
        <v>1894.2145700000001</v>
      </c>
      <c r="R3" s="3">
        <v>4.1666666666666669E-4</v>
      </c>
      <c r="S3" s="1">
        <v>158.15835000000001</v>
      </c>
      <c r="T3" s="1">
        <v>33</v>
      </c>
      <c r="U3" s="1">
        <v>9</v>
      </c>
      <c r="V3" s="3">
        <v>6.9444444444444444E-5</v>
      </c>
      <c r="W3" s="1">
        <v>36.898510000000002</v>
      </c>
      <c r="X3" s="1">
        <v>0</v>
      </c>
      <c r="Y3" s="1">
        <v>0.18590999999999999</v>
      </c>
      <c r="Z3" s="3">
        <v>0</v>
      </c>
      <c r="AA3" s="1">
        <v>21</v>
      </c>
      <c r="AB3" s="1">
        <v>36.712600000000002</v>
      </c>
      <c r="AC3" s="3">
        <v>2.5462962962962961E-4</v>
      </c>
      <c r="AD3" s="1">
        <v>21</v>
      </c>
      <c r="AE3" s="1">
        <v>3</v>
      </c>
      <c r="AF3" s="1">
        <v>9.5909899999999997</v>
      </c>
      <c r="AG3" s="3">
        <v>3.4722222222222222E-5</v>
      </c>
      <c r="AH3" s="1">
        <v>3</v>
      </c>
      <c r="AI3" s="1">
        <v>0</v>
      </c>
      <c r="AJ3" s="1">
        <v>0.16403999999999999</v>
      </c>
      <c r="AK3" s="3">
        <v>0</v>
      </c>
      <c r="AL3" s="1">
        <v>0</v>
      </c>
      <c r="AM3" s="1">
        <v>4.8277200000000002</v>
      </c>
      <c r="AN3" s="1">
        <v>-4.1304699999999999</v>
      </c>
      <c r="AO3" s="1">
        <v>56.681980000000003</v>
      </c>
      <c r="AP3" s="1">
        <v>6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2433.2933699999999</v>
      </c>
      <c r="AZ3" s="1">
        <v>66</v>
      </c>
      <c r="BA3" s="1">
        <v>66</v>
      </c>
      <c r="BB3" s="1">
        <v>12</v>
      </c>
      <c r="BC3" s="1">
        <v>12</v>
      </c>
      <c r="BD3" s="1">
        <v>9</v>
      </c>
      <c r="BE3" s="1">
        <v>3</v>
      </c>
      <c r="BF3" s="1">
        <v>56.681980000000003</v>
      </c>
      <c r="BG3" s="1">
        <v>0</v>
      </c>
      <c r="BH3" s="1">
        <v>0</v>
      </c>
      <c r="BI3" s="1">
        <v>0</v>
      </c>
      <c r="BJ3" s="1">
        <v>6</v>
      </c>
      <c r="BK3" s="1">
        <v>0</v>
      </c>
      <c r="BL3" s="1">
        <v>167.86321000000001</v>
      </c>
      <c r="BM3" s="1">
        <v>0</v>
      </c>
      <c r="BN3" s="3">
        <v>0.1030787037037037</v>
      </c>
      <c r="BO3" s="1" t="s">
        <v>130</v>
      </c>
      <c r="BP3" s="1" t="s">
        <v>130</v>
      </c>
      <c r="BQ3" s="1" t="s">
        <v>130</v>
      </c>
      <c r="BR3" s="1">
        <v>12.850210000000001</v>
      </c>
      <c r="BS3" s="1">
        <v>184</v>
      </c>
      <c r="BT3" s="1">
        <v>10.79238</v>
      </c>
      <c r="BU3" s="1">
        <v>33</v>
      </c>
      <c r="BV3" s="1">
        <v>9.2311399999999999</v>
      </c>
      <c r="BW3" s="1">
        <v>25.406890000000001</v>
      </c>
      <c r="BX3" s="1">
        <v>0</v>
      </c>
      <c r="BY3" s="1">
        <v>16</v>
      </c>
      <c r="BZ3" s="1">
        <v>8.1109899999999993</v>
      </c>
      <c r="CA3" s="1">
        <v>17.770150000000001</v>
      </c>
      <c r="CB3" s="1">
        <v>4.36564</v>
      </c>
      <c r="CC3" s="1">
        <v>6</v>
      </c>
      <c r="CD3" s="1" t="s">
        <v>130</v>
      </c>
      <c r="CE3" s="1" t="s">
        <v>130</v>
      </c>
      <c r="CF3" s="1" t="s">
        <v>130</v>
      </c>
      <c r="CG3" s="1">
        <v>0</v>
      </c>
      <c r="CH3" s="1" t="s">
        <v>130</v>
      </c>
      <c r="CI3" s="1" t="s">
        <v>130</v>
      </c>
      <c r="CJ3" s="1" t="s">
        <v>130</v>
      </c>
      <c r="CK3" s="1">
        <v>0</v>
      </c>
      <c r="CL3" s="1" t="s">
        <v>130</v>
      </c>
      <c r="CM3" s="1" t="s">
        <v>130</v>
      </c>
      <c r="CN3" s="1" t="s">
        <v>130</v>
      </c>
      <c r="CO3" s="1">
        <v>0</v>
      </c>
      <c r="CP3" s="1">
        <v>12.853910000000001</v>
      </c>
      <c r="CQ3" s="1">
        <v>184</v>
      </c>
      <c r="CR3" s="1">
        <v>10.79238</v>
      </c>
      <c r="CS3" s="1">
        <v>33</v>
      </c>
      <c r="CT3" s="1">
        <v>9.2311399999999999</v>
      </c>
      <c r="CU3" s="1">
        <v>25.406890000000001</v>
      </c>
      <c r="CV3" s="1">
        <v>0</v>
      </c>
      <c r="CW3" s="1">
        <v>16</v>
      </c>
      <c r="CX3" s="1">
        <v>8.1109899999999993</v>
      </c>
      <c r="CY3" s="1">
        <v>17.770150000000001</v>
      </c>
      <c r="CZ3" s="1">
        <v>4.36564</v>
      </c>
      <c r="DA3" s="1">
        <v>6</v>
      </c>
      <c r="DB3" s="1" t="s">
        <v>130</v>
      </c>
      <c r="DC3" s="1" t="s">
        <v>130</v>
      </c>
      <c r="DD3" s="1" t="s">
        <v>130</v>
      </c>
      <c r="DE3" s="1">
        <v>0</v>
      </c>
      <c r="DF3" s="1" t="s">
        <v>130</v>
      </c>
      <c r="DG3" s="1" t="s">
        <v>130</v>
      </c>
      <c r="DH3" s="1" t="s">
        <v>130</v>
      </c>
      <c r="DI3" s="1">
        <v>0</v>
      </c>
      <c r="DJ3" s="1" t="s">
        <v>130</v>
      </c>
      <c r="DK3" s="1" t="s">
        <v>130</v>
      </c>
      <c r="DL3" s="1" t="s">
        <v>130</v>
      </c>
      <c r="DM3" s="1">
        <v>0</v>
      </c>
      <c r="DN3" s="1">
        <v>0</v>
      </c>
      <c r="DO3" s="1">
        <v>18.242049999999999</v>
      </c>
      <c r="DP3" s="1">
        <v>3.5662699999999998</v>
      </c>
      <c r="DQ3" s="1">
        <v>46.839449999999999</v>
      </c>
      <c r="DR3" s="1">
        <v>12</v>
      </c>
      <c r="DS3" s="1">
        <v>1.1002400000000001</v>
      </c>
      <c r="DT3" s="1">
        <v>1.0671600000000001</v>
      </c>
      <c r="DU3" s="1">
        <v>2428.6963900000001</v>
      </c>
      <c r="DV3" s="1">
        <v>138.07333</v>
      </c>
      <c r="DW3" s="1">
        <v>66</v>
      </c>
      <c r="DX3" s="1">
        <v>0</v>
      </c>
      <c r="DY3" s="3">
        <v>0.1030787037037037</v>
      </c>
      <c r="DZ3" t="str">
        <f>IF(GPS_Table[[#This Row],[Max Vel (% Max)]] &gt;= 90, "YES", "NO")</f>
        <v>NO</v>
      </c>
    </row>
    <row r="4" spans="1:140" ht="14.25" customHeight="1" x14ac:dyDescent="0.2">
      <c r="A4" s="1" t="s">
        <v>145</v>
      </c>
      <c r="B4" s="1" t="s">
        <v>137</v>
      </c>
      <c r="C4" s="1" t="s">
        <v>129</v>
      </c>
      <c r="D4" s="1">
        <v>20.3</v>
      </c>
      <c r="E4" s="1">
        <v>17.048649999999999</v>
      </c>
      <c r="F4" s="1">
        <v>83.983490000000003</v>
      </c>
      <c r="G4" s="1">
        <v>0.26367000000000002</v>
      </c>
      <c r="H4" s="1">
        <v>358.18292000000002</v>
      </c>
      <c r="I4" s="1">
        <v>6089.1095800000003</v>
      </c>
      <c r="J4" s="3">
        <v>6.053240740740741E-3</v>
      </c>
      <c r="K4" s="3">
        <v>0.1030787037037037</v>
      </c>
      <c r="L4" s="1">
        <v>469.76535999999999</v>
      </c>
      <c r="M4" s="1">
        <v>27.63326</v>
      </c>
      <c r="N4" s="1">
        <v>5.3476800000000004</v>
      </c>
      <c r="O4" s="1">
        <v>3.1644899999999998</v>
      </c>
      <c r="P4" s="1">
        <v>469.76535999999999</v>
      </c>
      <c r="Q4" s="1">
        <v>2348.5065</v>
      </c>
      <c r="R4" s="3">
        <v>1.3541666666666667E-3</v>
      </c>
      <c r="S4" s="1">
        <v>402.28564999999998</v>
      </c>
      <c r="T4" s="1">
        <v>50</v>
      </c>
      <c r="U4" s="1">
        <v>25</v>
      </c>
      <c r="V4" s="3">
        <v>2.5462962962962961E-4</v>
      </c>
      <c r="W4" s="1">
        <v>80.293090000000007</v>
      </c>
      <c r="X4" s="1">
        <v>0</v>
      </c>
      <c r="Y4" s="1">
        <v>0</v>
      </c>
      <c r="Z4" s="3">
        <v>0</v>
      </c>
      <c r="AA4" s="1">
        <v>37</v>
      </c>
      <c r="AB4" s="1">
        <v>61.86571</v>
      </c>
      <c r="AC4" s="3">
        <v>5.4398148148148144E-4</v>
      </c>
      <c r="AD4" s="1">
        <v>37</v>
      </c>
      <c r="AE4" s="1">
        <v>2</v>
      </c>
      <c r="AF4" s="1">
        <v>5.2274700000000003</v>
      </c>
      <c r="AG4" s="3">
        <v>3.4722222222222222E-5</v>
      </c>
      <c r="AH4" s="1">
        <v>2</v>
      </c>
      <c r="AI4" s="1">
        <v>0</v>
      </c>
      <c r="AJ4" s="1">
        <v>0.34995999999999999</v>
      </c>
      <c r="AK4" s="3">
        <v>0</v>
      </c>
      <c r="AL4" s="1">
        <v>0</v>
      </c>
      <c r="AM4" s="1">
        <v>4.8839399999999999</v>
      </c>
      <c r="AN4" s="1">
        <v>-4.7801499999999999</v>
      </c>
      <c r="AO4" s="1">
        <v>249.56255999999999</v>
      </c>
      <c r="AP4" s="1">
        <v>22</v>
      </c>
      <c r="AQ4" s="1">
        <v>37.92651</v>
      </c>
      <c r="AR4" s="1">
        <v>2</v>
      </c>
      <c r="AS4" s="1">
        <v>20.888010000000001</v>
      </c>
      <c r="AT4" s="1">
        <v>20.888010000000001</v>
      </c>
      <c r="AU4" s="1">
        <v>2</v>
      </c>
      <c r="AV4" s="1">
        <v>0</v>
      </c>
      <c r="AW4" s="1">
        <v>0</v>
      </c>
      <c r="AX4" s="1">
        <v>0</v>
      </c>
      <c r="AY4" s="1">
        <v>3158.7290200000002</v>
      </c>
      <c r="AZ4" s="1">
        <v>114</v>
      </c>
      <c r="BA4" s="1">
        <v>114</v>
      </c>
      <c r="BB4" s="1">
        <v>27</v>
      </c>
      <c r="BC4" s="1">
        <v>27</v>
      </c>
      <c r="BD4" s="1">
        <v>25</v>
      </c>
      <c r="BE4" s="1">
        <v>2</v>
      </c>
      <c r="BF4" s="1">
        <v>308.37707999999998</v>
      </c>
      <c r="BG4" s="1">
        <v>58.814520000000002</v>
      </c>
      <c r="BH4" s="1">
        <v>20.888010000000001</v>
      </c>
      <c r="BI4" s="1">
        <v>0</v>
      </c>
      <c r="BJ4" s="1">
        <v>26</v>
      </c>
      <c r="BK4" s="1">
        <v>0</v>
      </c>
      <c r="BL4" s="1">
        <v>199.13666000000001</v>
      </c>
      <c r="BM4" s="1">
        <v>0</v>
      </c>
      <c r="BN4" s="3">
        <v>0.1030787037037037</v>
      </c>
      <c r="BO4" s="1" t="s">
        <v>130</v>
      </c>
      <c r="BP4" s="1" t="s">
        <v>130</v>
      </c>
      <c r="BQ4" s="1" t="s">
        <v>130</v>
      </c>
      <c r="BR4" s="1">
        <v>11.919409999999999</v>
      </c>
      <c r="BS4" s="1">
        <v>252</v>
      </c>
      <c r="BT4" s="1">
        <v>11.163270000000001</v>
      </c>
      <c r="BU4" s="1">
        <v>72</v>
      </c>
      <c r="BV4" s="1">
        <v>12.86641</v>
      </c>
      <c r="BW4" s="1">
        <v>48.955620000000003</v>
      </c>
      <c r="BX4" s="1">
        <v>0</v>
      </c>
      <c r="BY4" s="1">
        <v>39</v>
      </c>
      <c r="BZ4" s="1">
        <v>13.71785</v>
      </c>
      <c r="CA4" s="1">
        <v>42.778939999999999</v>
      </c>
      <c r="CB4" s="1">
        <v>0</v>
      </c>
      <c r="CC4" s="1">
        <v>20</v>
      </c>
      <c r="CD4" s="1">
        <v>17.527760000000001</v>
      </c>
      <c r="CE4" s="1">
        <v>23.04571</v>
      </c>
      <c r="CF4" s="1">
        <v>0</v>
      </c>
      <c r="CG4" s="1">
        <v>3</v>
      </c>
      <c r="CH4" s="1">
        <v>9.3422400000000003</v>
      </c>
      <c r="CI4" s="1">
        <v>11.369199999999999</v>
      </c>
      <c r="CJ4" s="1">
        <v>7.3152699999999999</v>
      </c>
      <c r="CK4" s="1">
        <v>2</v>
      </c>
      <c r="CL4" s="1" t="s">
        <v>130</v>
      </c>
      <c r="CM4" s="1" t="s">
        <v>130</v>
      </c>
      <c r="CN4" s="1" t="s">
        <v>130</v>
      </c>
      <c r="CO4" s="1">
        <v>0</v>
      </c>
      <c r="CP4" s="1">
        <v>11.79191</v>
      </c>
      <c r="CQ4" s="1">
        <v>258</v>
      </c>
      <c r="CR4" s="1">
        <v>11.422840000000001</v>
      </c>
      <c r="CS4" s="1">
        <v>72</v>
      </c>
      <c r="CT4" s="1">
        <v>12.96804</v>
      </c>
      <c r="CU4" s="1">
        <v>48.955620000000003</v>
      </c>
      <c r="CV4" s="1">
        <v>0</v>
      </c>
      <c r="CW4" s="1">
        <v>40</v>
      </c>
      <c r="CX4" s="1">
        <v>13.57409</v>
      </c>
      <c r="CY4" s="1">
        <v>43.392499999999998</v>
      </c>
      <c r="CZ4" s="1">
        <v>0</v>
      </c>
      <c r="DA4" s="1">
        <v>21</v>
      </c>
      <c r="DB4" s="1">
        <v>15.81753</v>
      </c>
      <c r="DC4" s="1">
        <v>23.780619999999999</v>
      </c>
      <c r="DD4" s="1">
        <v>0</v>
      </c>
      <c r="DE4" s="1">
        <v>4</v>
      </c>
      <c r="DF4" s="1">
        <v>12.58914</v>
      </c>
      <c r="DG4" s="1">
        <v>14.526490000000001</v>
      </c>
      <c r="DH4" s="1">
        <v>10.65178</v>
      </c>
      <c r="DI4" s="1">
        <v>2</v>
      </c>
      <c r="DJ4" s="1" t="s">
        <v>130</v>
      </c>
      <c r="DK4" s="1" t="s">
        <v>130</v>
      </c>
      <c r="DL4" s="1" t="s">
        <v>130</v>
      </c>
      <c r="DM4" s="1">
        <v>0</v>
      </c>
      <c r="DN4" s="1">
        <v>20.888010000000001</v>
      </c>
      <c r="DO4" s="1">
        <v>54.258839999999999</v>
      </c>
      <c r="DP4" s="1">
        <v>3.8569</v>
      </c>
      <c r="DQ4" s="1">
        <v>85.870519999999999</v>
      </c>
      <c r="DR4" s="1">
        <v>27</v>
      </c>
      <c r="DS4" s="1">
        <v>2.23516</v>
      </c>
      <c r="DT4" s="1">
        <v>5.0644</v>
      </c>
      <c r="DU4" s="1">
        <v>3138.6920399999999</v>
      </c>
      <c r="DV4" s="1">
        <v>133.33332999999999</v>
      </c>
      <c r="DW4" s="1">
        <v>114</v>
      </c>
      <c r="DX4" s="1">
        <v>0</v>
      </c>
      <c r="DY4" s="3">
        <v>0.1030787037037037</v>
      </c>
      <c r="DZ4" t="str">
        <f>IF(GPS_Table[[#This Row],[Max Vel (% Max)]] &gt;= 90, "YES", "NO")</f>
        <v>NO</v>
      </c>
    </row>
    <row r="5" spans="1:140" ht="14.25" customHeight="1" x14ac:dyDescent="0.2">
      <c r="A5" s="1" t="s">
        <v>146</v>
      </c>
      <c r="B5" s="1" t="s">
        <v>137</v>
      </c>
      <c r="C5" s="1" t="s">
        <v>129</v>
      </c>
      <c r="D5" s="1">
        <v>20.5</v>
      </c>
      <c r="E5" s="1">
        <v>18.569330000000001</v>
      </c>
      <c r="F5" s="1">
        <v>90.582120000000003</v>
      </c>
      <c r="G5" s="1">
        <v>0.20813000000000001</v>
      </c>
      <c r="H5" s="1">
        <v>330.94760000000002</v>
      </c>
      <c r="I5" s="1">
        <v>5626.1092799999997</v>
      </c>
      <c r="J5" s="3">
        <v>6.053240740740741E-3</v>
      </c>
      <c r="K5" s="3">
        <v>0.1030787037037037</v>
      </c>
      <c r="L5" s="1">
        <v>447.02958999999998</v>
      </c>
      <c r="M5" s="1">
        <v>26.295860000000001</v>
      </c>
      <c r="N5" s="1">
        <v>5.1334099999999996</v>
      </c>
      <c r="O5" s="1">
        <v>3.0113300000000001</v>
      </c>
      <c r="P5" s="1">
        <v>447.02958999999998</v>
      </c>
      <c r="Q5" s="1">
        <v>1853.84337</v>
      </c>
      <c r="R5" s="3">
        <v>6.4814814814814813E-4</v>
      </c>
      <c r="S5" s="1">
        <v>259.54723999999999</v>
      </c>
      <c r="T5" s="1">
        <v>49</v>
      </c>
      <c r="U5" s="1">
        <v>13</v>
      </c>
      <c r="V5" s="3">
        <v>1.273148148148148E-4</v>
      </c>
      <c r="W5" s="1">
        <v>66.655730000000005</v>
      </c>
      <c r="X5" s="1">
        <v>0</v>
      </c>
      <c r="Y5" s="1">
        <v>0</v>
      </c>
      <c r="Z5" s="3">
        <v>0</v>
      </c>
      <c r="AA5" s="1">
        <v>30</v>
      </c>
      <c r="AB5" s="1">
        <v>45.614609999999999</v>
      </c>
      <c r="AC5" s="3">
        <v>4.2824074074074075E-4</v>
      </c>
      <c r="AD5" s="1">
        <v>30</v>
      </c>
      <c r="AE5" s="1">
        <v>6</v>
      </c>
      <c r="AF5" s="1">
        <v>7.0428699999999997</v>
      </c>
      <c r="AG5" s="3">
        <v>8.1018518518518516E-5</v>
      </c>
      <c r="AH5" s="1">
        <v>6</v>
      </c>
      <c r="AI5" s="1">
        <v>1</v>
      </c>
      <c r="AJ5" s="1">
        <v>1.2904599999999999</v>
      </c>
      <c r="AK5" s="3">
        <v>0</v>
      </c>
      <c r="AL5" s="1">
        <v>1</v>
      </c>
      <c r="AM5" s="1">
        <v>4.6694100000000001</v>
      </c>
      <c r="AN5" s="1">
        <v>-5.0220599999999997</v>
      </c>
      <c r="AO5" s="1">
        <v>165.14654999999999</v>
      </c>
      <c r="AP5" s="1">
        <v>17</v>
      </c>
      <c r="AQ5" s="1">
        <v>46.664479999999998</v>
      </c>
      <c r="AR5" s="1">
        <v>3</v>
      </c>
      <c r="AS5" s="1">
        <v>55.10718</v>
      </c>
      <c r="AT5" s="1">
        <v>49.923450000000003</v>
      </c>
      <c r="AU5" s="1">
        <v>3</v>
      </c>
      <c r="AV5" s="1">
        <v>1</v>
      </c>
      <c r="AW5" s="1">
        <v>5.1837299999999997</v>
      </c>
      <c r="AX5" s="1">
        <v>1</v>
      </c>
      <c r="AY5" s="1">
        <v>3235.9845799999998</v>
      </c>
      <c r="AZ5" s="1">
        <v>99</v>
      </c>
      <c r="BA5" s="1">
        <v>99</v>
      </c>
      <c r="BB5" s="1">
        <v>20</v>
      </c>
      <c r="BC5" s="1">
        <v>20</v>
      </c>
      <c r="BD5" s="1">
        <v>13</v>
      </c>
      <c r="BE5" s="1">
        <v>7</v>
      </c>
      <c r="BF5" s="1">
        <v>266.91820999999999</v>
      </c>
      <c r="BG5" s="1">
        <v>101.77166</v>
      </c>
      <c r="BH5" s="1">
        <v>55.10718</v>
      </c>
      <c r="BI5" s="1">
        <v>5.1837299999999997</v>
      </c>
      <c r="BJ5" s="1">
        <v>24</v>
      </c>
      <c r="BK5" s="1">
        <v>0</v>
      </c>
      <c r="BL5" s="1">
        <v>181.09428</v>
      </c>
      <c r="BM5" s="1">
        <v>1</v>
      </c>
      <c r="BN5" s="3">
        <v>0.1030787037037037</v>
      </c>
      <c r="BO5" s="1" t="s">
        <v>130</v>
      </c>
      <c r="BP5" s="1" t="s">
        <v>130</v>
      </c>
      <c r="BQ5" s="1" t="s">
        <v>130</v>
      </c>
      <c r="BR5" s="1">
        <v>14.41029</v>
      </c>
      <c r="BS5" s="1">
        <v>202</v>
      </c>
      <c r="BT5" s="1">
        <v>14.74137</v>
      </c>
      <c r="BU5" s="1">
        <v>57</v>
      </c>
      <c r="BV5" s="1">
        <v>14.896420000000001</v>
      </c>
      <c r="BW5" s="1">
        <v>44.302289999999999</v>
      </c>
      <c r="BX5" s="1">
        <v>0</v>
      </c>
      <c r="BY5" s="1">
        <v>31</v>
      </c>
      <c r="BZ5" s="1">
        <v>15.696389999999999</v>
      </c>
      <c r="CA5" s="1">
        <v>38.877940000000002</v>
      </c>
      <c r="CB5" s="1">
        <v>0</v>
      </c>
      <c r="CC5" s="1">
        <v>16</v>
      </c>
      <c r="CD5" s="1">
        <v>16.342739999999999</v>
      </c>
      <c r="CE5" s="1">
        <v>33.372689999999999</v>
      </c>
      <c r="CF5" s="1">
        <v>5.1618199999999996</v>
      </c>
      <c r="CG5" s="1">
        <v>6</v>
      </c>
      <c r="CH5" s="1">
        <v>12.212770000000001</v>
      </c>
      <c r="CI5" s="1">
        <v>29.04964</v>
      </c>
      <c r="CJ5" s="1">
        <v>5.7163700000000004</v>
      </c>
      <c r="CK5" s="1">
        <v>4</v>
      </c>
      <c r="CL5" s="1" t="s">
        <v>130</v>
      </c>
      <c r="CM5" s="1">
        <v>0</v>
      </c>
      <c r="CN5" s="1">
        <v>0</v>
      </c>
      <c r="CO5" s="1">
        <v>0</v>
      </c>
      <c r="CP5" s="1">
        <v>14.41029</v>
      </c>
      <c r="CQ5" s="1">
        <v>202</v>
      </c>
      <c r="CR5" s="1">
        <v>14.74137</v>
      </c>
      <c r="CS5" s="1">
        <v>57</v>
      </c>
      <c r="CT5" s="1">
        <v>14.896420000000001</v>
      </c>
      <c r="CU5" s="1">
        <v>44.302289999999999</v>
      </c>
      <c r="CV5" s="1">
        <v>0</v>
      </c>
      <c r="CW5" s="1">
        <v>31</v>
      </c>
      <c r="CX5" s="1">
        <v>15.696389999999999</v>
      </c>
      <c r="CY5" s="1">
        <v>38.877940000000002</v>
      </c>
      <c r="CZ5" s="1">
        <v>0</v>
      </c>
      <c r="DA5" s="1">
        <v>16</v>
      </c>
      <c r="DB5" s="1">
        <v>16.342739999999999</v>
      </c>
      <c r="DC5" s="1">
        <v>33.372689999999999</v>
      </c>
      <c r="DD5" s="1">
        <v>5.1618199999999996</v>
      </c>
      <c r="DE5" s="1">
        <v>6</v>
      </c>
      <c r="DF5" s="1">
        <v>12.212770000000001</v>
      </c>
      <c r="DG5" s="1">
        <v>29.04964</v>
      </c>
      <c r="DH5" s="1">
        <v>5.7163700000000004</v>
      </c>
      <c r="DI5" s="1">
        <v>4</v>
      </c>
      <c r="DJ5" s="1" t="s">
        <v>130</v>
      </c>
      <c r="DK5" s="1">
        <v>0</v>
      </c>
      <c r="DL5" s="1">
        <v>0</v>
      </c>
      <c r="DM5" s="1">
        <v>0</v>
      </c>
      <c r="DN5" s="1">
        <v>55.10718</v>
      </c>
      <c r="DO5" s="1">
        <v>52.069980000000001</v>
      </c>
      <c r="DP5" s="1">
        <v>3.2950699999999999</v>
      </c>
      <c r="DQ5" s="1">
        <v>74.989059999999995</v>
      </c>
      <c r="DR5" s="1">
        <v>20</v>
      </c>
      <c r="DS5" s="1">
        <v>3.46733</v>
      </c>
      <c r="DT5" s="1">
        <v>4.7442799999999998</v>
      </c>
      <c r="DU5" s="1">
        <v>3220.7021300000001</v>
      </c>
      <c r="DV5" s="1">
        <v>134.07</v>
      </c>
      <c r="DW5" s="1">
        <v>99</v>
      </c>
      <c r="DX5" s="1">
        <v>0</v>
      </c>
      <c r="DY5" s="3">
        <v>0.1030787037037037</v>
      </c>
      <c r="DZ5" t="str">
        <f>IF(GPS_Table[[#This Row],[Max Vel (% Max)]] &gt;= 90, "YES", "NO")</f>
        <v>YES</v>
      </c>
    </row>
    <row r="6" spans="1:140" ht="14.25" customHeight="1" x14ac:dyDescent="0.2">
      <c r="A6" s="1" t="s">
        <v>147</v>
      </c>
      <c r="B6" s="1" t="s">
        <v>137</v>
      </c>
      <c r="C6" s="1" t="s">
        <v>129</v>
      </c>
      <c r="D6" s="1">
        <v>21.599989999999998</v>
      </c>
      <c r="E6" s="1">
        <v>18.02563</v>
      </c>
      <c r="F6" s="1">
        <v>83.452010000000001</v>
      </c>
      <c r="G6" s="1">
        <v>0.21704000000000001</v>
      </c>
      <c r="H6" s="1">
        <v>316.16507000000001</v>
      </c>
      <c r="I6" s="1">
        <v>5374.80627</v>
      </c>
      <c r="J6" s="3">
        <v>6.053240740740741E-3</v>
      </c>
      <c r="K6" s="3">
        <v>0.1030787037037037</v>
      </c>
      <c r="L6" s="1">
        <v>460.67684000000003</v>
      </c>
      <c r="M6" s="1">
        <v>27.09864</v>
      </c>
      <c r="N6" s="1">
        <v>5.96584</v>
      </c>
      <c r="O6" s="1">
        <v>3.1032700000000002</v>
      </c>
      <c r="P6" s="1">
        <v>460.67684000000003</v>
      </c>
      <c r="Q6" s="1">
        <v>1933.12104</v>
      </c>
      <c r="R6" s="3">
        <v>7.291666666666667E-4</v>
      </c>
      <c r="S6" s="1">
        <v>289.37007999999997</v>
      </c>
      <c r="T6" s="1">
        <v>39</v>
      </c>
      <c r="U6" s="1">
        <v>13</v>
      </c>
      <c r="V6" s="3">
        <v>1.8518518518518518E-4</v>
      </c>
      <c r="W6" s="1">
        <v>70.636480000000006</v>
      </c>
      <c r="X6" s="1">
        <v>0</v>
      </c>
      <c r="Y6" s="1">
        <v>0</v>
      </c>
      <c r="Z6" s="3">
        <v>0</v>
      </c>
      <c r="AA6" s="1">
        <v>22</v>
      </c>
      <c r="AB6" s="1">
        <v>63.768590000000003</v>
      </c>
      <c r="AC6" s="3">
        <v>4.3981481481481481E-4</v>
      </c>
      <c r="AD6" s="1">
        <v>22</v>
      </c>
      <c r="AE6" s="1">
        <v>10</v>
      </c>
      <c r="AF6" s="1">
        <v>14.65442</v>
      </c>
      <c r="AG6" s="3">
        <v>1.6203703703703703E-4</v>
      </c>
      <c r="AH6" s="1">
        <v>10</v>
      </c>
      <c r="AI6" s="1">
        <v>1</v>
      </c>
      <c r="AJ6" s="1">
        <v>3.1277300000000001</v>
      </c>
      <c r="AK6" s="3">
        <v>1.1574074074074073E-5</v>
      </c>
      <c r="AL6" s="1">
        <v>1</v>
      </c>
      <c r="AM6" s="1">
        <v>4.9141700000000004</v>
      </c>
      <c r="AN6" s="1">
        <v>-5.1773300000000004</v>
      </c>
      <c r="AO6" s="1">
        <v>222.57218</v>
      </c>
      <c r="AP6" s="1">
        <v>19</v>
      </c>
      <c r="AQ6" s="1">
        <v>40.234029999999997</v>
      </c>
      <c r="AR6" s="1">
        <v>5</v>
      </c>
      <c r="AS6" s="1">
        <v>6.6929100000000004</v>
      </c>
      <c r="AT6" s="1">
        <v>6.6929100000000004</v>
      </c>
      <c r="AU6" s="1">
        <v>1</v>
      </c>
      <c r="AV6" s="1">
        <v>0</v>
      </c>
      <c r="AW6" s="1">
        <v>0</v>
      </c>
      <c r="AX6" s="1">
        <v>0</v>
      </c>
      <c r="AY6" s="1">
        <v>3005.4602199999999</v>
      </c>
      <c r="AZ6" s="1">
        <v>85</v>
      </c>
      <c r="BA6" s="1">
        <v>85</v>
      </c>
      <c r="BB6" s="1">
        <v>24</v>
      </c>
      <c r="BC6" s="1">
        <v>24</v>
      </c>
      <c r="BD6" s="1">
        <v>13</v>
      </c>
      <c r="BE6" s="1">
        <v>11</v>
      </c>
      <c r="BF6" s="1">
        <v>269.49912</v>
      </c>
      <c r="BG6" s="1">
        <v>46.926940000000002</v>
      </c>
      <c r="BH6" s="1">
        <v>6.6929100000000004</v>
      </c>
      <c r="BI6" s="1">
        <v>0</v>
      </c>
      <c r="BJ6" s="1">
        <v>25</v>
      </c>
      <c r="BK6" s="1">
        <v>0</v>
      </c>
      <c r="BL6" s="1">
        <v>175.57735</v>
      </c>
      <c r="BM6" s="1">
        <v>0</v>
      </c>
      <c r="BN6" s="3">
        <v>0.1030787037037037</v>
      </c>
      <c r="BO6" s="1" t="s">
        <v>130</v>
      </c>
      <c r="BP6" s="1" t="s">
        <v>130</v>
      </c>
      <c r="BQ6" s="1" t="s">
        <v>130</v>
      </c>
      <c r="BR6" s="1">
        <v>12.888260000000001</v>
      </c>
      <c r="BS6" s="1">
        <v>218</v>
      </c>
      <c r="BT6" s="1">
        <v>14.77599</v>
      </c>
      <c r="BU6" s="1">
        <v>43</v>
      </c>
      <c r="BV6" s="1">
        <v>14.02018</v>
      </c>
      <c r="BW6" s="1">
        <v>33.565330000000003</v>
      </c>
      <c r="BX6" s="1">
        <v>0</v>
      </c>
      <c r="BY6" s="1">
        <v>31</v>
      </c>
      <c r="BZ6" s="1">
        <v>12.965619999999999</v>
      </c>
      <c r="CA6" s="1">
        <v>28.926020000000001</v>
      </c>
      <c r="CB6" s="1">
        <v>3.1922000000000001</v>
      </c>
      <c r="CC6" s="1">
        <v>19</v>
      </c>
      <c r="CD6" s="1">
        <v>7.7102399999999998</v>
      </c>
      <c r="CE6" s="1">
        <v>10.76993</v>
      </c>
      <c r="CF6" s="1">
        <v>3.0338699999999998</v>
      </c>
      <c r="CG6" s="1">
        <v>5</v>
      </c>
      <c r="CH6" s="1">
        <v>5.1181700000000001</v>
      </c>
      <c r="CI6" s="1">
        <v>5.1181700000000001</v>
      </c>
      <c r="CJ6" s="1">
        <v>5.1181700000000001</v>
      </c>
      <c r="CK6" s="1">
        <v>1</v>
      </c>
      <c r="CL6" s="1" t="s">
        <v>130</v>
      </c>
      <c r="CM6" s="1" t="s">
        <v>130</v>
      </c>
      <c r="CN6" s="1" t="s">
        <v>130</v>
      </c>
      <c r="CO6" s="1">
        <v>0</v>
      </c>
      <c r="CP6" s="1">
        <v>12.593629999999999</v>
      </c>
      <c r="CQ6" s="1">
        <v>227</v>
      </c>
      <c r="CR6" s="1">
        <v>14.08123</v>
      </c>
      <c r="CS6" s="1">
        <v>46</v>
      </c>
      <c r="CT6" s="1">
        <v>14.36469</v>
      </c>
      <c r="CU6" s="1">
        <v>33.565330000000003</v>
      </c>
      <c r="CV6" s="1">
        <v>0</v>
      </c>
      <c r="CW6" s="1">
        <v>31</v>
      </c>
      <c r="CX6" s="1">
        <v>13.20196</v>
      </c>
      <c r="CY6" s="1">
        <v>29.9649</v>
      </c>
      <c r="CZ6" s="1">
        <v>2.9222700000000001</v>
      </c>
      <c r="DA6" s="1">
        <v>20</v>
      </c>
      <c r="DB6" s="1">
        <v>10.0504</v>
      </c>
      <c r="DC6" s="1">
        <v>12.173120000000001</v>
      </c>
      <c r="DD6" s="1">
        <v>0</v>
      </c>
      <c r="DE6" s="1">
        <v>5</v>
      </c>
      <c r="DF6" s="1">
        <v>7.5864099999999999</v>
      </c>
      <c r="DG6" s="1">
        <v>7.5864099999999999</v>
      </c>
      <c r="DH6" s="1">
        <v>7.5864099999999999</v>
      </c>
      <c r="DI6" s="1">
        <v>1</v>
      </c>
      <c r="DJ6" s="1" t="s">
        <v>130</v>
      </c>
      <c r="DK6" s="1" t="s">
        <v>130</v>
      </c>
      <c r="DL6" s="1" t="s">
        <v>130</v>
      </c>
      <c r="DM6" s="1">
        <v>0</v>
      </c>
      <c r="DN6" s="1">
        <v>6.6929100000000004</v>
      </c>
      <c r="DO6" s="1">
        <v>49.631680000000003</v>
      </c>
      <c r="DP6" s="1">
        <v>3.5966300000000002</v>
      </c>
      <c r="DQ6" s="1">
        <v>88.418629999999993</v>
      </c>
      <c r="DR6" s="1">
        <v>24</v>
      </c>
      <c r="DS6" s="1">
        <v>3.0390100000000002</v>
      </c>
      <c r="DT6" s="1">
        <v>5.0141200000000001</v>
      </c>
      <c r="DU6" s="1">
        <v>2993.0992900000001</v>
      </c>
      <c r="DV6" s="1">
        <v>134.505</v>
      </c>
      <c r="DW6" s="1">
        <v>85</v>
      </c>
      <c r="DX6" s="1">
        <v>0</v>
      </c>
      <c r="DY6" s="3">
        <v>0.1030787037037037</v>
      </c>
      <c r="DZ6" t="str">
        <f>IF(GPS_Table[[#This Row],[Max Vel (% Max)]] &gt;= 90, "YES", "NO")</f>
        <v>NO</v>
      </c>
    </row>
    <row r="7" spans="1:140" ht="14.25" customHeight="1" x14ac:dyDescent="0.2">
      <c r="A7" s="1" t="s">
        <v>148</v>
      </c>
      <c r="B7" s="1" t="s">
        <v>137</v>
      </c>
      <c r="C7" s="1" t="s">
        <v>129</v>
      </c>
      <c r="D7" s="1">
        <v>21.3</v>
      </c>
      <c r="E7" s="1">
        <v>20.448370000000001</v>
      </c>
      <c r="F7" s="1">
        <v>96.001760000000004</v>
      </c>
      <c r="G7" s="1">
        <v>0.21221000000000001</v>
      </c>
      <c r="H7" s="1">
        <v>302.72005999999999</v>
      </c>
      <c r="I7" s="1">
        <v>5146.2410799999998</v>
      </c>
      <c r="J7" s="3">
        <v>6.053240740740741E-3</v>
      </c>
      <c r="K7" s="3">
        <v>0.1030787037037037</v>
      </c>
      <c r="L7" s="1">
        <v>454.63488000000001</v>
      </c>
      <c r="M7" s="1">
        <v>26.743230000000001</v>
      </c>
      <c r="N7" s="1">
        <v>4.7949700000000002</v>
      </c>
      <c r="O7" s="1">
        <v>3.06257</v>
      </c>
      <c r="P7" s="1">
        <v>454.63488000000001</v>
      </c>
      <c r="Q7" s="1">
        <v>1890.1003599999999</v>
      </c>
      <c r="R7" s="3">
        <v>7.291666666666667E-4</v>
      </c>
      <c r="S7" s="1">
        <v>285.76116000000002</v>
      </c>
      <c r="T7" s="1">
        <v>46</v>
      </c>
      <c r="U7" s="1">
        <v>18</v>
      </c>
      <c r="V7" s="3">
        <v>2.3148148148148149E-4</v>
      </c>
      <c r="W7" s="1">
        <v>90.430880000000002</v>
      </c>
      <c r="X7" s="1">
        <v>0</v>
      </c>
      <c r="Y7" s="1">
        <v>1.12642</v>
      </c>
      <c r="Z7" s="3">
        <v>0</v>
      </c>
      <c r="AA7" s="1">
        <v>44</v>
      </c>
      <c r="AB7" s="1">
        <v>80.249340000000004</v>
      </c>
      <c r="AC7" s="3">
        <v>5.6712962962962967E-4</v>
      </c>
      <c r="AD7" s="1">
        <v>44</v>
      </c>
      <c r="AE7" s="1">
        <v>4</v>
      </c>
      <c r="AF7" s="1">
        <v>9.12073</v>
      </c>
      <c r="AG7" s="3">
        <v>5.7870370370370373E-5</v>
      </c>
      <c r="AH7" s="1">
        <v>4</v>
      </c>
      <c r="AI7" s="1">
        <v>1</v>
      </c>
      <c r="AJ7" s="1">
        <v>1.12642</v>
      </c>
      <c r="AK7" s="3">
        <v>0</v>
      </c>
      <c r="AL7" s="1">
        <v>1</v>
      </c>
      <c r="AM7" s="1">
        <v>4.8191199999999998</v>
      </c>
      <c r="AN7" s="1">
        <v>-5.1630399999999996</v>
      </c>
      <c r="AO7" s="1">
        <v>191.88539</v>
      </c>
      <c r="AP7" s="1">
        <v>18</v>
      </c>
      <c r="AQ7" s="1">
        <v>46.620739999999998</v>
      </c>
      <c r="AR7" s="1">
        <v>4</v>
      </c>
      <c r="AS7" s="1">
        <v>43.580489999999998</v>
      </c>
      <c r="AT7" s="1">
        <v>24.431319999999999</v>
      </c>
      <c r="AU7" s="1">
        <v>3</v>
      </c>
      <c r="AV7" s="1">
        <v>1</v>
      </c>
      <c r="AW7" s="1">
        <v>19.149170000000002</v>
      </c>
      <c r="AX7" s="1">
        <v>1</v>
      </c>
      <c r="AY7" s="1">
        <v>2789.3731699999998</v>
      </c>
      <c r="AZ7" s="1">
        <v>113</v>
      </c>
      <c r="BA7" s="1">
        <v>113</v>
      </c>
      <c r="BB7" s="1">
        <v>23</v>
      </c>
      <c r="BC7" s="1">
        <v>23</v>
      </c>
      <c r="BD7" s="1">
        <v>18</v>
      </c>
      <c r="BE7" s="1">
        <v>5</v>
      </c>
      <c r="BF7" s="1">
        <v>282.08661999999998</v>
      </c>
      <c r="BG7" s="1">
        <v>90.201229999999995</v>
      </c>
      <c r="BH7" s="1">
        <v>43.580489999999998</v>
      </c>
      <c r="BI7" s="1">
        <v>19.149170000000002</v>
      </c>
      <c r="BJ7" s="1">
        <v>26</v>
      </c>
      <c r="BK7" s="1">
        <v>0</v>
      </c>
      <c r="BL7" s="1">
        <v>166.35624000000001</v>
      </c>
      <c r="BM7" s="1">
        <v>1</v>
      </c>
      <c r="BN7" s="3">
        <v>0.1030787037037037</v>
      </c>
      <c r="BO7" s="1" t="s">
        <v>130</v>
      </c>
      <c r="BP7" s="1" t="s">
        <v>130</v>
      </c>
      <c r="BQ7" s="1" t="s">
        <v>130</v>
      </c>
      <c r="BR7" s="1">
        <v>14.3422</v>
      </c>
      <c r="BS7" s="1">
        <v>189</v>
      </c>
      <c r="BT7" s="1">
        <v>14.683059999999999</v>
      </c>
      <c r="BU7" s="1">
        <v>52</v>
      </c>
      <c r="BV7" s="1">
        <v>16.476680000000002</v>
      </c>
      <c r="BW7" s="1">
        <v>47.041789999999999</v>
      </c>
      <c r="BX7" s="1">
        <v>0</v>
      </c>
      <c r="BY7" s="1">
        <v>27</v>
      </c>
      <c r="BZ7" s="1">
        <v>15.80157</v>
      </c>
      <c r="CA7" s="1">
        <v>41.976219999999998</v>
      </c>
      <c r="CB7" s="1">
        <v>2.3853399999999998</v>
      </c>
      <c r="CC7" s="1">
        <v>17</v>
      </c>
      <c r="CD7" s="1">
        <v>21.109490000000001</v>
      </c>
      <c r="CE7" s="1">
        <v>32.192709999999998</v>
      </c>
      <c r="CF7" s="1">
        <v>9.4115900000000003</v>
      </c>
      <c r="CG7" s="1">
        <v>4</v>
      </c>
      <c r="CH7" s="1">
        <v>13.73175</v>
      </c>
      <c r="CI7" s="1">
        <v>26.45017</v>
      </c>
      <c r="CJ7" s="1">
        <v>5.0972099999999996</v>
      </c>
      <c r="CK7" s="1">
        <v>3</v>
      </c>
      <c r="CL7" s="1">
        <v>18.331240000000001</v>
      </c>
      <c r="CM7" s="1">
        <v>18.331240000000001</v>
      </c>
      <c r="CN7" s="1">
        <v>18.331240000000001</v>
      </c>
      <c r="CO7" s="1">
        <v>1</v>
      </c>
      <c r="CP7" s="1">
        <v>14.358090000000001</v>
      </c>
      <c r="CQ7" s="1">
        <v>188</v>
      </c>
      <c r="CR7" s="1">
        <v>14.644819999999999</v>
      </c>
      <c r="CS7" s="1">
        <v>52</v>
      </c>
      <c r="CT7" s="1">
        <v>16.403510000000001</v>
      </c>
      <c r="CU7" s="1">
        <v>47.041789999999999</v>
      </c>
      <c r="CV7" s="1">
        <v>0</v>
      </c>
      <c r="CW7" s="1">
        <v>27</v>
      </c>
      <c r="CX7" s="1">
        <v>15.80157</v>
      </c>
      <c r="CY7" s="1">
        <v>41.976219999999998</v>
      </c>
      <c r="CZ7" s="1">
        <v>2.3853399999999998</v>
      </c>
      <c r="DA7" s="1">
        <v>17</v>
      </c>
      <c r="DB7" s="1">
        <v>21.109490000000001</v>
      </c>
      <c r="DC7" s="1">
        <v>32.192709999999998</v>
      </c>
      <c r="DD7" s="1">
        <v>9.4115900000000003</v>
      </c>
      <c r="DE7" s="1">
        <v>4</v>
      </c>
      <c r="DF7" s="1">
        <v>13.73175</v>
      </c>
      <c r="DG7" s="1">
        <v>26.45017</v>
      </c>
      <c r="DH7" s="1">
        <v>5.0972099999999996</v>
      </c>
      <c r="DI7" s="1">
        <v>3</v>
      </c>
      <c r="DJ7" s="1">
        <v>18.331240000000001</v>
      </c>
      <c r="DK7" s="1">
        <v>18.331240000000001</v>
      </c>
      <c r="DL7" s="1">
        <v>18.331240000000001</v>
      </c>
      <c r="DM7" s="1">
        <v>1</v>
      </c>
      <c r="DN7" s="1">
        <v>43.580489999999998</v>
      </c>
      <c r="DO7" s="1">
        <v>59.404209999999999</v>
      </c>
      <c r="DP7" s="1">
        <v>3.6727799999999999</v>
      </c>
      <c r="DQ7" s="1">
        <v>101.80445</v>
      </c>
      <c r="DR7" s="1">
        <v>23</v>
      </c>
      <c r="DS7" s="1">
        <v>3.6292900000000001</v>
      </c>
      <c r="DT7" s="1">
        <v>5.4814100000000003</v>
      </c>
      <c r="DU7" s="1">
        <v>2781.6273000000001</v>
      </c>
      <c r="DV7" s="1">
        <v>135.55667</v>
      </c>
      <c r="DW7" s="1">
        <v>113</v>
      </c>
      <c r="DX7" s="1">
        <v>0</v>
      </c>
      <c r="DY7" s="3">
        <v>0.1030787037037037</v>
      </c>
      <c r="DZ7" t="str">
        <f>IF(GPS_Table[[#This Row],[Max Vel (% Max)]] &gt;= 90, "YES", "NO")</f>
        <v>YES</v>
      </c>
    </row>
    <row r="8" spans="1:140" ht="14.25" customHeight="1" x14ac:dyDescent="0.2">
      <c r="A8" s="1" t="s">
        <v>149</v>
      </c>
      <c r="B8" s="1" t="s">
        <v>137</v>
      </c>
      <c r="C8" s="1" t="s">
        <v>129</v>
      </c>
      <c r="D8" s="1">
        <v>20.599989999999998</v>
      </c>
      <c r="E8" s="1">
        <v>18.668099999999999</v>
      </c>
      <c r="F8" s="1">
        <v>90.62191</v>
      </c>
      <c r="G8" s="1">
        <v>0.17416999999999999</v>
      </c>
      <c r="H8" s="1">
        <v>261.5532</v>
      </c>
      <c r="I8" s="1">
        <v>4446.4044599999997</v>
      </c>
      <c r="J8" s="3">
        <v>6.053240740740741E-3</v>
      </c>
      <c r="K8" s="3">
        <v>0.1030787037037037</v>
      </c>
      <c r="L8" s="1">
        <v>394.10106999999999</v>
      </c>
      <c r="M8" s="1">
        <v>23.18242</v>
      </c>
      <c r="N8" s="1">
        <v>5.79786</v>
      </c>
      <c r="O8" s="1">
        <v>2.6547900000000002</v>
      </c>
      <c r="P8" s="1">
        <v>394.10106999999999</v>
      </c>
      <c r="Q8" s="1">
        <v>1551.3504800000001</v>
      </c>
      <c r="R8" s="3">
        <v>3.9351851851851852E-4</v>
      </c>
      <c r="S8" s="1">
        <v>161.37358</v>
      </c>
      <c r="T8" s="1">
        <v>27</v>
      </c>
      <c r="U8" s="1">
        <v>9</v>
      </c>
      <c r="V8" s="3">
        <v>8.1018518518518516E-5</v>
      </c>
      <c r="W8" s="1">
        <v>19.739719999999998</v>
      </c>
      <c r="X8" s="1">
        <v>0</v>
      </c>
      <c r="Y8" s="1">
        <v>0</v>
      </c>
      <c r="Z8" s="3">
        <v>0</v>
      </c>
      <c r="AA8" s="1">
        <v>14</v>
      </c>
      <c r="AB8" s="1">
        <v>37.325020000000002</v>
      </c>
      <c r="AC8" s="3">
        <v>3.0092592592592595E-4</v>
      </c>
      <c r="AD8" s="1">
        <v>14</v>
      </c>
      <c r="AE8" s="1">
        <v>8</v>
      </c>
      <c r="AF8" s="1">
        <v>5.3149600000000001</v>
      </c>
      <c r="AG8" s="3">
        <v>5.7870370370370373E-5</v>
      </c>
      <c r="AH8" s="1">
        <v>8</v>
      </c>
      <c r="AI8" s="1">
        <v>1</v>
      </c>
      <c r="AJ8" s="1">
        <v>8.7489999999999998E-2</v>
      </c>
      <c r="AK8" s="3">
        <v>0</v>
      </c>
      <c r="AL8" s="1">
        <v>1</v>
      </c>
      <c r="AM8" s="1">
        <v>4.2018899999999997</v>
      </c>
      <c r="AN8" s="1">
        <v>-5.56311</v>
      </c>
      <c r="AO8" s="1">
        <v>142.26814999999999</v>
      </c>
      <c r="AP8" s="1">
        <v>13</v>
      </c>
      <c r="AQ8" s="1">
        <v>45.428699999999999</v>
      </c>
      <c r="AR8" s="1">
        <v>5</v>
      </c>
      <c r="AS8" s="1">
        <v>36.592300000000002</v>
      </c>
      <c r="AT8" s="1">
        <v>34.962820000000001</v>
      </c>
      <c r="AU8" s="1">
        <v>4</v>
      </c>
      <c r="AV8" s="1">
        <v>0</v>
      </c>
      <c r="AW8" s="1">
        <v>1.62948</v>
      </c>
      <c r="AX8" s="1">
        <v>0</v>
      </c>
      <c r="AY8" s="1">
        <v>2504.4534199999998</v>
      </c>
      <c r="AZ8" s="1">
        <v>59</v>
      </c>
      <c r="BA8" s="1">
        <v>59</v>
      </c>
      <c r="BB8" s="1">
        <v>18</v>
      </c>
      <c r="BC8" s="1">
        <v>18</v>
      </c>
      <c r="BD8" s="1">
        <v>9</v>
      </c>
      <c r="BE8" s="1">
        <v>9</v>
      </c>
      <c r="BF8" s="1">
        <v>224.28915000000001</v>
      </c>
      <c r="BG8" s="1">
        <v>82.021000000000001</v>
      </c>
      <c r="BH8" s="1">
        <v>36.592300000000002</v>
      </c>
      <c r="BI8" s="1">
        <v>1.62948</v>
      </c>
      <c r="BJ8" s="1">
        <v>22</v>
      </c>
      <c r="BK8" s="1">
        <v>0</v>
      </c>
      <c r="BL8" s="1">
        <v>149.14822000000001</v>
      </c>
      <c r="BM8" s="1">
        <v>0</v>
      </c>
      <c r="BN8" s="3">
        <v>0.1030787037037037</v>
      </c>
      <c r="BO8" s="1" t="s">
        <v>130</v>
      </c>
      <c r="BP8" s="1" t="s">
        <v>130</v>
      </c>
      <c r="BQ8" s="1" t="s">
        <v>130</v>
      </c>
      <c r="BR8" s="1">
        <v>13.582000000000001</v>
      </c>
      <c r="BS8" s="1">
        <v>168</v>
      </c>
      <c r="BT8" s="1">
        <v>15.97423</v>
      </c>
      <c r="BU8" s="1">
        <v>30</v>
      </c>
      <c r="BV8" s="1">
        <v>15.91208</v>
      </c>
      <c r="BW8" s="1">
        <v>41.506039999999999</v>
      </c>
      <c r="BX8" s="1">
        <v>1.61853</v>
      </c>
      <c r="BY8" s="1">
        <v>20</v>
      </c>
      <c r="BZ8" s="1">
        <v>16.463830000000002</v>
      </c>
      <c r="CA8" s="1">
        <v>32.628979999999999</v>
      </c>
      <c r="CB8" s="1">
        <v>5.4954299999999998</v>
      </c>
      <c r="CC8" s="1">
        <v>13</v>
      </c>
      <c r="CD8" s="1">
        <v>15.15931</v>
      </c>
      <c r="CE8" s="1">
        <v>20.249469999999999</v>
      </c>
      <c r="CF8" s="1">
        <v>3.6866699999999999</v>
      </c>
      <c r="CG8" s="1">
        <v>5</v>
      </c>
      <c r="CH8" s="1">
        <v>9.6156600000000001</v>
      </c>
      <c r="CI8" s="1">
        <v>14.609719999999999</v>
      </c>
      <c r="CJ8" s="1">
        <v>5.6835300000000002</v>
      </c>
      <c r="CK8" s="1">
        <v>4</v>
      </c>
      <c r="CL8" s="1" t="s">
        <v>130</v>
      </c>
      <c r="CM8" s="1">
        <v>0</v>
      </c>
      <c r="CN8" s="1">
        <v>0</v>
      </c>
      <c r="CO8" s="1">
        <v>0</v>
      </c>
      <c r="CP8" s="1">
        <v>13.55463</v>
      </c>
      <c r="CQ8" s="1">
        <v>176</v>
      </c>
      <c r="CR8" s="1">
        <v>15.65179</v>
      </c>
      <c r="CS8" s="1">
        <v>33</v>
      </c>
      <c r="CT8" s="1">
        <v>17.350549999999998</v>
      </c>
      <c r="CU8" s="1">
        <v>43.029249999999998</v>
      </c>
      <c r="CV8" s="1">
        <v>0</v>
      </c>
      <c r="CW8" s="1">
        <v>20</v>
      </c>
      <c r="CX8" s="1">
        <v>17.374690000000001</v>
      </c>
      <c r="CY8" s="1">
        <v>34.509160000000001</v>
      </c>
      <c r="CZ8" s="1">
        <v>0</v>
      </c>
      <c r="DA8" s="1">
        <v>13</v>
      </c>
      <c r="DB8" s="1">
        <v>17.339479999999998</v>
      </c>
      <c r="DC8" s="1">
        <v>21.467770000000002</v>
      </c>
      <c r="DD8" s="1">
        <v>0</v>
      </c>
      <c r="DE8" s="1">
        <v>5</v>
      </c>
      <c r="DF8" s="1">
        <v>12.690580000000001</v>
      </c>
      <c r="DG8" s="1">
        <v>16.11317</v>
      </c>
      <c r="DH8" s="1">
        <v>9.7573500000000006</v>
      </c>
      <c r="DI8" s="1">
        <v>4</v>
      </c>
      <c r="DJ8" s="1">
        <v>5.2133500000000002</v>
      </c>
      <c r="DK8" s="1">
        <v>5.2133500000000002</v>
      </c>
      <c r="DL8" s="1">
        <v>5.2133500000000002</v>
      </c>
      <c r="DM8" s="1">
        <v>1</v>
      </c>
      <c r="DN8" s="1">
        <v>36.592300000000002</v>
      </c>
      <c r="DO8" s="1">
        <v>35.784350000000003</v>
      </c>
      <c r="DP8" s="1">
        <v>3.4889999999999999</v>
      </c>
      <c r="DQ8" s="1">
        <v>25.14217</v>
      </c>
      <c r="DR8" s="1">
        <v>18</v>
      </c>
      <c r="DS8" s="1">
        <v>4.0598700000000001</v>
      </c>
      <c r="DT8" s="1">
        <v>5.0442799999999997</v>
      </c>
      <c r="DU8" s="1">
        <v>2464.0091900000002</v>
      </c>
      <c r="DV8" s="1">
        <v>138.38999999999999</v>
      </c>
      <c r="DW8" s="1">
        <v>59</v>
      </c>
      <c r="DX8" s="1">
        <v>0</v>
      </c>
      <c r="DY8" s="3">
        <v>0.1030787037037037</v>
      </c>
      <c r="DZ8" t="str">
        <f>IF(GPS_Table[[#This Row],[Max Vel (% Max)]] &gt;= 90, "YES", "NO")</f>
        <v>YES</v>
      </c>
    </row>
    <row r="9" spans="1:140" ht="14.25" customHeight="1" x14ac:dyDescent="0.2">
      <c r="A9" s="1" t="s">
        <v>150</v>
      </c>
      <c r="B9" s="1" t="s">
        <v>137</v>
      </c>
      <c r="C9" s="1" t="s">
        <v>129</v>
      </c>
      <c r="D9" s="1">
        <v>20.799910000000001</v>
      </c>
      <c r="E9" s="1">
        <v>19.391660000000002</v>
      </c>
      <c r="F9" s="1">
        <v>93.229569999999995</v>
      </c>
      <c r="G9" s="1">
        <v>0.29043000000000002</v>
      </c>
      <c r="H9" s="1">
        <v>428.13887</v>
      </c>
      <c r="I9" s="1">
        <v>7278.3607099999999</v>
      </c>
      <c r="J9" s="3">
        <v>6.053240740740741E-3</v>
      </c>
      <c r="K9" s="3">
        <v>0.1030787037037037</v>
      </c>
      <c r="L9" s="1">
        <v>583.37050999999997</v>
      </c>
      <c r="M9" s="1">
        <v>34.315910000000002</v>
      </c>
      <c r="N9" s="1">
        <v>4.8194800000000004</v>
      </c>
      <c r="O9" s="1">
        <v>3.92977</v>
      </c>
      <c r="P9" s="1">
        <v>583.37050999999997</v>
      </c>
      <c r="Q9" s="1">
        <v>2586.8685599999999</v>
      </c>
      <c r="R9" s="3">
        <v>1.2731481481481483E-3</v>
      </c>
      <c r="S9" s="1">
        <v>487.51094000000001</v>
      </c>
      <c r="T9" s="1">
        <v>79</v>
      </c>
      <c r="U9" s="1">
        <v>18</v>
      </c>
      <c r="V9" s="3">
        <v>1.7361111111111112E-4</v>
      </c>
      <c r="W9" s="1">
        <v>86.668850000000006</v>
      </c>
      <c r="X9" s="1">
        <v>0</v>
      </c>
      <c r="Y9" s="1">
        <v>0</v>
      </c>
      <c r="Z9" s="3">
        <v>0</v>
      </c>
      <c r="AA9" s="1">
        <v>58</v>
      </c>
      <c r="AB9" s="1">
        <v>100.74366000000001</v>
      </c>
      <c r="AC9" s="3">
        <v>8.564814814814815E-4</v>
      </c>
      <c r="AD9" s="1">
        <v>58</v>
      </c>
      <c r="AE9" s="1">
        <v>11</v>
      </c>
      <c r="AF9" s="1">
        <v>14.65442</v>
      </c>
      <c r="AG9" s="3">
        <v>8.1018518518518516E-5</v>
      </c>
      <c r="AH9" s="1">
        <v>11</v>
      </c>
      <c r="AI9" s="1">
        <v>1</v>
      </c>
      <c r="AJ9" s="1">
        <v>2.25284</v>
      </c>
      <c r="AK9" s="3">
        <v>2.3148148148148147E-5</v>
      </c>
      <c r="AL9" s="1">
        <v>1</v>
      </c>
      <c r="AM9" s="1">
        <v>4.7560900000000004</v>
      </c>
      <c r="AN9" s="1">
        <v>-5.0205399999999996</v>
      </c>
      <c r="AO9" s="1">
        <v>257.25065999999998</v>
      </c>
      <c r="AP9" s="1">
        <v>22</v>
      </c>
      <c r="AQ9" s="1">
        <v>12.69685</v>
      </c>
      <c r="AR9" s="1">
        <v>2</v>
      </c>
      <c r="AS9" s="1">
        <v>44.411630000000002</v>
      </c>
      <c r="AT9" s="1">
        <v>31.605419999999999</v>
      </c>
      <c r="AU9" s="1">
        <v>2</v>
      </c>
      <c r="AV9" s="1">
        <v>1</v>
      </c>
      <c r="AW9" s="1">
        <v>12.80621</v>
      </c>
      <c r="AX9" s="1">
        <v>1</v>
      </c>
      <c r="AY9" s="1">
        <v>4098.5487499999999</v>
      </c>
      <c r="AZ9" s="1">
        <v>167</v>
      </c>
      <c r="BA9" s="1">
        <v>167</v>
      </c>
      <c r="BB9" s="1">
        <v>30</v>
      </c>
      <c r="BC9" s="1">
        <v>30</v>
      </c>
      <c r="BD9" s="1">
        <v>18</v>
      </c>
      <c r="BE9" s="1">
        <v>12</v>
      </c>
      <c r="BF9" s="1">
        <v>314.35914000000002</v>
      </c>
      <c r="BG9" s="1">
        <v>57.10848</v>
      </c>
      <c r="BH9" s="1">
        <v>44.411630000000002</v>
      </c>
      <c r="BI9" s="1">
        <v>12.80621</v>
      </c>
      <c r="BJ9" s="1">
        <v>27</v>
      </c>
      <c r="BK9" s="1">
        <v>0</v>
      </c>
      <c r="BL9" s="1">
        <v>238.67142000000001</v>
      </c>
      <c r="BM9" s="1">
        <v>1</v>
      </c>
      <c r="BN9" s="3">
        <v>0.1030787037037037</v>
      </c>
      <c r="BO9" s="1" t="s">
        <v>130</v>
      </c>
      <c r="BP9" s="1" t="s">
        <v>130</v>
      </c>
      <c r="BQ9" s="1" t="s">
        <v>130</v>
      </c>
      <c r="BR9" s="1">
        <v>13.39395</v>
      </c>
      <c r="BS9" s="1">
        <v>285</v>
      </c>
      <c r="BT9" s="1">
        <v>11.75788</v>
      </c>
      <c r="BU9" s="1">
        <v>89</v>
      </c>
      <c r="BV9" s="1">
        <v>11.75018</v>
      </c>
      <c r="BW9" s="1">
        <v>45.91093</v>
      </c>
      <c r="BX9" s="1">
        <v>0</v>
      </c>
      <c r="BY9" s="1">
        <v>49</v>
      </c>
      <c r="BZ9" s="1">
        <v>13.64955</v>
      </c>
      <c r="CA9" s="1">
        <v>42.472700000000003</v>
      </c>
      <c r="CB9" s="1">
        <v>0</v>
      </c>
      <c r="CC9" s="1">
        <v>22</v>
      </c>
      <c r="CD9" s="1">
        <v>28.222280000000001</v>
      </c>
      <c r="CE9" s="1">
        <v>34.04419</v>
      </c>
      <c r="CF9" s="1">
        <v>22.400379999999998</v>
      </c>
      <c r="CG9" s="1">
        <v>2</v>
      </c>
      <c r="CH9" s="1">
        <v>20.752359999999999</v>
      </c>
      <c r="CI9" s="1">
        <v>28.572780000000002</v>
      </c>
      <c r="CJ9" s="1">
        <v>12.93192</v>
      </c>
      <c r="CK9" s="1">
        <v>2</v>
      </c>
      <c r="CL9" s="1">
        <v>11.95539</v>
      </c>
      <c r="CM9" s="1">
        <v>11.95539</v>
      </c>
      <c r="CN9" s="1">
        <v>11.95539</v>
      </c>
      <c r="CO9" s="1">
        <v>1</v>
      </c>
      <c r="CP9" s="1">
        <v>13.39395</v>
      </c>
      <c r="CQ9" s="1">
        <v>285</v>
      </c>
      <c r="CR9" s="1">
        <v>11.75788</v>
      </c>
      <c r="CS9" s="1">
        <v>89</v>
      </c>
      <c r="CT9" s="1">
        <v>11.75018</v>
      </c>
      <c r="CU9" s="1">
        <v>45.91093</v>
      </c>
      <c r="CV9" s="1">
        <v>0</v>
      </c>
      <c r="CW9" s="1">
        <v>49</v>
      </c>
      <c r="CX9" s="1">
        <v>13.64955</v>
      </c>
      <c r="CY9" s="1">
        <v>42.472700000000003</v>
      </c>
      <c r="CZ9" s="1">
        <v>0</v>
      </c>
      <c r="DA9" s="1">
        <v>22</v>
      </c>
      <c r="DB9" s="1">
        <v>28.222280000000001</v>
      </c>
      <c r="DC9" s="1">
        <v>34.04419</v>
      </c>
      <c r="DD9" s="1">
        <v>22.400379999999998</v>
      </c>
      <c r="DE9" s="1">
        <v>2</v>
      </c>
      <c r="DF9" s="1">
        <v>20.752359999999999</v>
      </c>
      <c r="DG9" s="1">
        <v>28.572780000000002</v>
      </c>
      <c r="DH9" s="1">
        <v>12.93192</v>
      </c>
      <c r="DI9" s="1">
        <v>2</v>
      </c>
      <c r="DJ9" s="1">
        <v>11.95539</v>
      </c>
      <c r="DK9" s="1">
        <v>11.95539</v>
      </c>
      <c r="DL9" s="1">
        <v>11.95539</v>
      </c>
      <c r="DM9" s="1">
        <v>1</v>
      </c>
      <c r="DN9" s="1">
        <v>44.411630000000002</v>
      </c>
      <c r="DO9" s="1">
        <v>62.520980000000002</v>
      </c>
      <c r="DP9" s="1">
        <v>3.5541900000000002</v>
      </c>
      <c r="DQ9" s="1">
        <v>103.57611</v>
      </c>
      <c r="DR9" s="1">
        <v>30</v>
      </c>
      <c r="DS9" s="1">
        <v>2.9140999999999999</v>
      </c>
      <c r="DT9" s="1">
        <v>4.3190900000000001</v>
      </c>
      <c r="DU9" s="1">
        <v>4091.6338500000002</v>
      </c>
      <c r="DV9" s="1">
        <v>128.65333000000001</v>
      </c>
      <c r="DW9" s="1">
        <v>167</v>
      </c>
      <c r="DX9" s="1">
        <v>0</v>
      </c>
      <c r="DY9" s="3">
        <v>0.1030787037037037</v>
      </c>
      <c r="DZ9" t="str">
        <f>IF(GPS_Table[[#This Row],[Max Vel (% Max)]] &gt;= 90, "YES", "NO")</f>
        <v>YES</v>
      </c>
    </row>
    <row r="10" spans="1:140" ht="14.25" customHeight="1" x14ac:dyDescent="0.2">
      <c r="A10" s="1" t="s">
        <v>151</v>
      </c>
      <c r="B10" s="1" t="s">
        <v>137</v>
      </c>
      <c r="C10" s="1" t="s">
        <v>129</v>
      </c>
      <c r="D10" s="1">
        <v>21.5</v>
      </c>
      <c r="E10" s="1">
        <v>19.81371</v>
      </c>
      <c r="F10" s="1">
        <v>92.156769999999995</v>
      </c>
      <c r="G10" s="1">
        <v>0.29865000000000003</v>
      </c>
      <c r="H10" s="1">
        <v>451.13855000000001</v>
      </c>
      <c r="I10" s="1">
        <v>7669.3553599999996</v>
      </c>
      <c r="J10" s="3">
        <v>6.053240740740741E-3</v>
      </c>
      <c r="K10" s="3">
        <v>0.1030787037037037</v>
      </c>
      <c r="L10" s="1">
        <v>548.06488000000002</v>
      </c>
      <c r="M10" s="1">
        <v>32.239109999999997</v>
      </c>
      <c r="N10" s="1">
        <v>5.7729299999999997</v>
      </c>
      <c r="O10" s="1">
        <v>3.6919400000000002</v>
      </c>
      <c r="P10" s="1">
        <v>548.06488000000002</v>
      </c>
      <c r="Q10" s="1">
        <v>2660.0548600000002</v>
      </c>
      <c r="R10" s="3">
        <v>1.2037037037037038E-3</v>
      </c>
      <c r="S10" s="1">
        <v>464.20603999999997</v>
      </c>
      <c r="T10" s="1">
        <v>84</v>
      </c>
      <c r="U10" s="1">
        <v>19</v>
      </c>
      <c r="V10" s="3">
        <v>2.4305555555555555E-4</v>
      </c>
      <c r="W10" s="1">
        <v>83.934820000000002</v>
      </c>
      <c r="X10" s="1">
        <v>0</v>
      </c>
      <c r="Y10" s="1">
        <v>0</v>
      </c>
      <c r="Z10" s="3">
        <v>0</v>
      </c>
      <c r="AA10" s="1">
        <v>55</v>
      </c>
      <c r="AB10" s="1">
        <v>84.787840000000003</v>
      </c>
      <c r="AC10" s="3">
        <v>8.564814814814815E-4</v>
      </c>
      <c r="AD10" s="1">
        <v>55</v>
      </c>
      <c r="AE10" s="1">
        <v>9</v>
      </c>
      <c r="AF10" s="1">
        <v>12.23753</v>
      </c>
      <c r="AG10" s="3">
        <v>9.2592592592592588E-5</v>
      </c>
      <c r="AH10" s="1">
        <v>9</v>
      </c>
      <c r="AI10" s="1">
        <v>0</v>
      </c>
      <c r="AJ10" s="1">
        <v>0.43745000000000001</v>
      </c>
      <c r="AK10" s="3">
        <v>0</v>
      </c>
      <c r="AL10" s="1">
        <v>0</v>
      </c>
      <c r="AM10" s="1">
        <v>4.7239800000000001</v>
      </c>
      <c r="AN10" s="1">
        <v>-4.9738800000000003</v>
      </c>
      <c r="AO10" s="1">
        <v>108.77078</v>
      </c>
      <c r="AP10" s="1">
        <v>14</v>
      </c>
      <c r="AQ10" s="1">
        <v>42.541559999999997</v>
      </c>
      <c r="AR10" s="1">
        <v>5</v>
      </c>
      <c r="AS10" s="1">
        <v>81.758529999999993</v>
      </c>
      <c r="AT10" s="1">
        <v>64.938760000000002</v>
      </c>
      <c r="AU10" s="1">
        <v>5</v>
      </c>
      <c r="AV10" s="1">
        <v>2</v>
      </c>
      <c r="AW10" s="1">
        <v>16.819769999999998</v>
      </c>
      <c r="AX10" s="1">
        <v>2</v>
      </c>
      <c r="AY10" s="1">
        <v>4491.6540999999997</v>
      </c>
      <c r="AZ10" s="1">
        <v>167</v>
      </c>
      <c r="BA10" s="1">
        <v>167</v>
      </c>
      <c r="BB10" s="1">
        <v>28</v>
      </c>
      <c r="BC10" s="1">
        <v>28</v>
      </c>
      <c r="BD10" s="1">
        <v>19</v>
      </c>
      <c r="BE10" s="1">
        <v>9</v>
      </c>
      <c r="BF10" s="1">
        <v>233.07087000000001</v>
      </c>
      <c r="BG10" s="1">
        <v>124.30009</v>
      </c>
      <c r="BH10" s="1">
        <v>81.758529999999993</v>
      </c>
      <c r="BI10" s="1">
        <v>16.819769999999998</v>
      </c>
      <c r="BJ10" s="1">
        <v>26</v>
      </c>
      <c r="BK10" s="1">
        <v>0</v>
      </c>
      <c r="BL10" s="1">
        <v>248.98641000000001</v>
      </c>
      <c r="BM10" s="1">
        <v>2</v>
      </c>
      <c r="BN10" s="3">
        <v>0.1030787037037037</v>
      </c>
      <c r="BO10" s="1" t="s">
        <v>130</v>
      </c>
      <c r="BP10" s="1" t="s">
        <v>130</v>
      </c>
      <c r="BQ10" s="1" t="s">
        <v>130</v>
      </c>
      <c r="BR10" s="1">
        <v>13.812530000000001</v>
      </c>
      <c r="BS10" s="1">
        <v>310</v>
      </c>
      <c r="BT10" s="1">
        <v>11.371169999999999</v>
      </c>
      <c r="BU10" s="1">
        <v>96</v>
      </c>
      <c r="BV10" s="1">
        <v>12.38766</v>
      </c>
      <c r="BW10" s="1">
        <v>48.068660000000001</v>
      </c>
      <c r="BX10" s="1">
        <v>0</v>
      </c>
      <c r="BY10" s="1">
        <v>37</v>
      </c>
      <c r="BZ10" s="1">
        <v>16.093360000000001</v>
      </c>
      <c r="CA10" s="1">
        <v>38.78069</v>
      </c>
      <c r="CB10" s="1">
        <v>0</v>
      </c>
      <c r="CC10" s="1">
        <v>14</v>
      </c>
      <c r="CD10" s="1">
        <v>23.673449999999999</v>
      </c>
      <c r="CE10" s="1">
        <v>33.261220000000002</v>
      </c>
      <c r="CF10" s="1">
        <v>11.77477</v>
      </c>
      <c r="CG10" s="1">
        <v>5</v>
      </c>
      <c r="CH10" s="1">
        <v>15.2502</v>
      </c>
      <c r="CI10" s="1">
        <v>24.518719999999998</v>
      </c>
      <c r="CJ10" s="1">
        <v>3.38897</v>
      </c>
      <c r="CK10" s="1">
        <v>5</v>
      </c>
      <c r="CL10" s="1">
        <v>9.4592299999999998</v>
      </c>
      <c r="CM10" s="1">
        <v>13.276479999999999</v>
      </c>
      <c r="CN10" s="1">
        <v>5.6419800000000002</v>
      </c>
      <c r="CO10" s="1">
        <v>2</v>
      </c>
      <c r="CP10" s="1">
        <v>13.812530000000001</v>
      </c>
      <c r="CQ10" s="1">
        <v>310</v>
      </c>
      <c r="CR10" s="1">
        <v>11.371169999999999</v>
      </c>
      <c r="CS10" s="1">
        <v>96</v>
      </c>
      <c r="CT10" s="1">
        <v>12.38766</v>
      </c>
      <c r="CU10" s="1">
        <v>48.068660000000001</v>
      </c>
      <c r="CV10" s="1">
        <v>0</v>
      </c>
      <c r="CW10" s="1">
        <v>37</v>
      </c>
      <c r="CX10" s="1">
        <v>16.093360000000001</v>
      </c>
      <c r="CY10" s="1">
        <v>38.78069</v>
      </c>
      <c r="CZ10" s="1">
        <v>0</v>
      </c>
      <c r="DA10" s="1">
        <v>14</v>
      </c>
      <c r="DB10" s="1">
        <v>23.673449999999999</v>
      </c>
      <c r="DC10" s="1">
        <v>33.261220000000002</v>
      </c>
      <c r="DD10" s="1">
        <v>11.77477</v>
      </c>
      <c r="DE10" s="1">
        <v>5</v>
      </c>
      <c r="DF10" s="1">
        <v>15.2502</v>
      </c>
      <c r="DG10" s="1">
        <v>24.518719999999998</v>
      </c>
      <c r="DH10" s="1">
        <v>3.38897</v>
      </c>
      <c r="DI10" s="1">
        <v>5</v>
      </c>
      <c r="DJ10" s="1">
        <v>9.4592299999999998</v>
      </c>
      <c r="DK10" s="1">
        <v>13.276479999999999</v>
      </c>
      <c r="DL10" s="1">
        <v>5.6419800000000002</v>
      </c>
      <c r="DM10" s="1">
        <v>2</v>
      </c>
      <c r="DN10" s="1">
        <v>81.758529999999993</v>
      </c>
      <c r="DO10" s="1">
        <v>61.144680000000001</v>
      </c>
      <c r="DP10" s="1">
        <v>3.4684200000000001</v>
      </c>
      <c r="DQ10" s="1">
        <v>96.609800000000007</v>
      </c>
      <c r="DR10" s="1">
        <v>28</v>
      </c>
      <c r="DS10" s="1">
        <v>1.8246</v>
      </c>
      <c r="DT10" s="1">
        <v>3.0389900000000001</v>
      </c>
      <c r="DU10" s="1">
        <v>4486.9860200000003</v>
      </c>
      <c r="DV10" s="1">
        <v>130.46833000000001</v>
      </c>
      <c r="DW10" s="1">
        <v>167</v>
      </c>
      <c r="DX10" s="1">
        <v>0</v>
      </c>
      <c r="DY10" s="3">
        <v>0.1030787037037037</v>
      </c>
      <c r="DZ10" t="str">
        <f>IF(GPS_Table[[#This Row],[Max Vel (% Max)]] &gt;= 90, "YES", "NO")</f>
        <v>YES</v>
      </c>
    </row>
    <row r="11" spans="1:140" ht="14.25" customHeight="1" x14ac:dyDescent="0.2">
      <c r="A11" s="1" t="s">
        <v>152</v>
      </c>
      <c r="B11" s="1" t="s">
        <v>137</v>
      </c>
      <c r="C11" s="1" t="s">
        <v>129</v>
      </c>
      <c r="D11" s="1">
        <v>21.700089999999999</v>
      </c>
      <c r="E11" s="1">
        <v>17.870339999999999</v>
      </c>
      <c r="F11" s="1">
        <v>82.351420000000005</v>
      </c>
      <c r="G11" s="1">
        <v>0.19325000000000001</v>
      </c>
      <c r="H11" s="1">
        <v>274.2319</v>
      </c>
      <c r="I11" s="1">
        <v>4661.94229</v>
      </c>
      <c r="J11" s="3">
        <v>6.053240740740741E-3</v>
      </c>
      <c r="K11" s="3">
        <v>0.1030787037037037</v>
      </c>
      <c r="L11" s="1">
        <v>361.52292</v>
      </c>
      <c r="M11" s="1">
        <v>21.26605</v>
      </c>
      <c r="N11" s="1">
        <v>4.2683299999999997</v>
      </c>
      <c r="O11" s="1">
        <v>2.43533</v>
      </c>
      <c r="P11" s="1">
        <v>361.52292</v>
      </c>
      <c r="Q11" s="1">
        <v>1721.30305</v>
      </c>
      <c r="R11" s="3">
        <v>6.018518518518519E-4</v>
      </c>
      <c r="S11" s="1">
        <v>227.82151999999999</v>
      </c>
      <c r="T11" s="1">
        <v>28</v>
      </c>
      <c r="U11" s="1">
        <v>11</v>
      </c>
      <c r="V11" s="3">
        <v>9.2592592592592588E-5</v>
      </c>
      <c r="W11" s="1">
        <v>47.626860000000001</v>
      </c>
      <c r="X11" s="1">
        <v>1</v>
      </c>
      <c r="Y11" s="1">
        <v>0</v>
      </c>
      <c r="Z11" s="3">
        <v>0</v>
      </c>
      <c r="AA11" s="1">
        <v>31</v>
      </c>
      <c r="AB11" s="1">
        <v>39.391950000000001</v>
      </c>
      <c r="AC11" s="3">
        <v>3.3564814814814812E-4</v>
      </c>
      <c r="AD11" s="1">
        <v>31</v>
      </c>
      <c r="AE11" s="1">
        <v>5</v>
      </c>
      <c r="AF11" s="1">
        <v>5.1399800000000004</v>
      </c>
      <c r="AG11" s="3">
        <v>3.4722222222222222E-5</v>
      </c>
      <c r="AH11" s="1">
        <v>5</v>
      </c>
      <c r="AI11" s="1">
        <v>0</v>
      </c>
      <c r="AJ11" s="1">
        <v>0.28433999999999998</v>
      </c>
      <c r="AK11" s="3">
        <v>0</v>
      </c>
      <c r="AL11" s="1">
        <v>0</v>
      </c>
      <c r="AM11" s="1">
        <v>5.0739099999999997</v>
      </c>
      <c r="AN11" s="1">
        <v>-4.74193</v>
      </c>
      <c r="AO11" s="1">
        <v>151.82633000000001</v>
      </c>
      <c r="AP11" s="1">
        <v>13</v>
      </c>
      <c r="AQ11" s="1">
        <v>11.384510000000001</v>
      </c>
      <c r="AR11" s="1">
        <v>1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2332.79745</v>
      </c>
      <c r="AZ11" s="1">
        <v>76</v>
      </c>
      <c r="BA11" s="1">
        <v>76</v>
      </c>
      <c r="BB11" s="1">
        <v>17</v>
      </c>
      <c r="BC11" s="1">
        <v>17</v>
      </c>
      <c r="BD11" s="1">
        <v>12</v>
      </c>
      <c r="BE11" s="1">
        <v>5</v>
      </c>
      <c r="BF11" s="1">
        <v>163.21083999999999</v>
      </c>
      <c r="BG11" s="1">
        <v>11.384510000000001</v>
      </c>
      <c r="BH11" s="1">
        <v>0</v>
      </c>
      <c r="BI11" s="1">
        <v>0</v>
      </c>
      <c r="BJ11" s="1">
        <v>14</v>
      </c>
      <c r="BK11" s="1">
        <v>0</v>
      </c>
      <c r="BL11" s="1">
        <v>153.35932</v>
      </c>
      <c r="BM11" s="1">
        <v>0</v>
      </c>
      <c r="BN11" s="3">
        <v>0.1030787037037037</v>
      </c>
      <c r="BO11" s="1" t="s">
        <v>130</v>
      </c>
      <c r="BP11" s="1" t="s">
        <v>130</v>
      </c>
      <c r="BQ11" s="1" t="s">
        <v>130</v>
      </c>
      <c r="BR11" s="1">
        <v>12.307259999999999</v>
      </c>
      <c r="BS11" s="1">
        <v>180</v>
      </c>
      <c r="BT11" s="1">
        <v>14.90278</v>
      </c>
      <c r="BU11" s="1">
        <v>34</v>
      </c>
      <c r="BV11" s="1">
        <v>14.294370000000001</v>
      </c>
      <c r="BW11" s="1">
        <v>36.339680000000001</v>
      </c>
      <c r="BX11" s="1">
        <v>2.2163599999999999</v>
      </c>
      <c r="BY11" s="1">
        <v>21</v>
      </c>
      <c r="BZ11" s="1">
        <v>10.6502</v>
      </c>
      <c r="CA11" s="1">
        <v>22.914349999999999</v>
      </c>
      <c r="CB11" s="1">
        <v>2.96258</v>
      </c>
      <c r="CC11" s="1">
        <v>14</v>
      </c>
      <c r="CD11" s="1">
        <v>10.672610000000001</v>
      </c>
      <c r="CE11" s="1">
        <v>10.672610000000001</v>
      </c>
      <c r="CF11" s="1">
        <v>10.672610000000001</v>
      </c>
      <c r="CG11" s="1">
        <v>1</v>
      </c>
      <c r="CH11" s="1" t="s">
        <v>130</v>
      </c>
      <c r="CI11" s="1" t="s">
        <v>130</v>
      </c>
      <c r="CJ11" s="1" t="s">
        <v>130</v>
      </c>
      <c r="CK11" s="1">
        <v>0</v>
      </c>
      <c r="CL11" s="1" t="s">
        <v>130</v>
      </c>
      <c r="CM11" s="1" t="s">
        <v>130</v>
      </c>
      <c r="CN11" s="1" t="s">
        <v>130</v>
      </c>
      <c r="CO11" s="1">
        <v>0</v>
      </c>
      <c r="CP11" s="1">
        <v>12.35791</v>
      </c>
      <c r="CQ11" s="1">
        <v>179</v>
      </c>
      <c r="CR11" s="1">
        <v>14.90278</v>
      </c>
      <c r="CS11" s="1">
        <v>34</v>
      </c>
      <c r="CT11" s="1">
        <v>14.294370000000001</v>
      </c>
      <c r="CU11" s="1">
        <v>36.339680000000001</v>
      </c>
      <c r="CV11" s="1">
        <v>0</v>
      </c>
      <c r="CW11" s="1">
        <v>21</v>
      </c>
      <c r="CX11" s="1">
        <v>10.691280000000001</v>
      </c>
      <c r="CY11" s="1">
        <v>22.914349999999999</v>
      </c>
      <c r="CZ11" s="1">
        <v>2.96258</v>
      </c>
      <c r="DA11" s="1">
        <v>14</v>
      </c>
      <c r="DB11" s="1">
        <v>10.672610000000001</v>
      </c>
      <c r="DC11" s="1">
        <v>10.672610000000001</v>
      </c>
      <c r="DD11" s="1">
        <v>10.672610000000001</v>
      </c>
      <c r="DE11" s="1">
        <v>1</v>
      </c>
      <c r="DF11" s="1" t="s">
        <v>130</v>
      </c>
      <c r="DG11" s="1" t="s">
        <v>130</v>
      </c>
      <c r="DH11" s="1" t="s">
        <v>130</v>
      </c>
      <c r="DI11" s="1">
        <v>0</v>
      </c>
      <c r="DJ11" s="1" t="s">
        <v>130</v>
      </c>
      <c r="DK11" s="1" t="s">
        <v>130</v>
      </c>
      <c r="DL11" s="1" t="s">
        <v>130</v>
      </c>
      <c r="DM11" s="1">
        <v>0</v>
      </c>
      <c r="DN11" s="1">
        <v>0</v>
      </c>
      <c r="DO11" s="1">
        <v>30.761790000000001</v>
      </c>
      <c r="DP11" s="1">
        <v>3.69224</v>
      </c>
      <c r="DQ11" s="1">
        <v>53.051180000000002</v>
      </c>
      <c r="DR11" s="1">
        <v>17</v>
      </c>
      <c r="DS11" s="1">
        <v>0.82982</v>
      </c>
      <c r="DT11" s="1">
        <v>3.5009199999999998</v>
      </c>
      <c r="DU11" s="1">
        <v>2327.69029</v>
      </c>
      <c r="DV11" s="1">
        <v>137.35499999999999</v>
      </c>
      <c r="DW11" s="1">
        <v>76</v>
      </c>
      <c r="DX11" s="1">
        <v>1</v>
      </c>
      <c r="DY11" s="3">
        <v>0.1030787037037037</v>
      </c>
      <c r="DZ11" t="str">
        <f>IF(GPS_Table[[#This Row],[Max Vel (% Max)]] &gt;= 90, "YES", "NO")</f>
        <v>NO</v>
      </c>
    </row>
    <row r="12" spans="1:140" s="4" customFormat="1" ht="14.25" customHeight="1" x14ac:dyDescent="0.2">
      <c r="A12" s="1" t="s">
        <v>153</v>
      </c>
      <c r="B12" s="1" t="s">
        <v>137</v>
      </c>
      <c r="C12" s="1" t="s">
        <v>129</v>
      </c>
      <c r="D12" s="1">
        <v>22.3</v>
      </c>
      <c r="E12" s="1">
        <v>19.667770000000001</v>
      </c>
      <c r="F12" s="1">
        <v>88.196290000000005</v>
      </c>
      <c r="G12" s="1">
        <v>0.19009000000000001</v>
      </c>
      <c r="H12" s="1">
        <v>279.43419999999998</v>
      </c>
      <c r="I12" s="1">
        <v>4750.3814300000004</v>
      </c>
      <c r="J12" s="3">
        <v>6.053240740740741E-3</v>
      </c>
      <c r="K12" s="3">
        <v>0.1030787037037037</v>
      </c>
      <c r="L12" s="1">
        <v>358.13871</v>
      </c>
      <c r="M12" s="1">
        <v>21.066980000000001</v>
      </c>
      <c r="N12" s="1">
        <v>7.4711499999999997</v>
      </c>
      <c r="O12" s="1">
        <v>2.4125399999999999</v>
      </c>
      <c r="P12" s="1">
        <v>358.13871</v>
      </c>
      <c r="Q12" s="1">
        <v>1693.0963899999999</v>
      </c>
      <c r="R12" s="3">
        <v>4.2824074074074075E-4</v>
      </c>
      <c r="S12" s="1">
        <v>191.66666000000001</v>
      </c>
      <c r="T12" s="1">
        <v>21</v>
      </c>
      <c r="U12" s="1">
        <v>18</v>
      </c>
      <c r="V12" s="3">
        <v>2.3148148148148149E-4</v>
      </c>
      <c r="W12" s="1">
        <v>83.617670000000004</v>
      </c>
      <c r="X12" s="1">
        <v>0</v>
      </c>
      <c r="Y12" s="1">
        <v>0</v>
      </c>
      <c r="Z12" s="3">
        <v>0</v>
      </c>
      <c r="AA12" s="1">
        <v>19</v>
      </c>
      <c r="AB12" s="1">
        <v>48.118989999999997</v>
      </c>
      <c r="AC12" s="3">
        <v>3.7037037037037035E-4</v>
      </c>
      <c r="AD12" s="1">
        <v>19</v>
      </c>
      <c r="AE12" s="1">
        <v>5</v>
      </c>
      <c r="AF12" s="1">
        <v>4.71347</v>
      </c>
      <c r="AG12" s="3">
        <v>2.3148148148148147E-5</v>
      </c>
      <c r="AH12" s="1">
        <v>5</v>
      </c>
      <c r="AI12" s="1">
        <v>0</v>
      </c>
      <c r="AJ12" s="1">
        <v>3.08399</v>
      </c>
      <c r="AK12" s="3">
        <v>0</v>
      </c>
      <c r="AL12" s="1">
        <v>0</v>
      </c>
      <c r="AM12" s="1">
        <v>4.7553000000000001</v>
      </c>
      <c r="AN12" s="1">
        <v>-4.1549500000000004</v>
      </c>
      <c r="AO12" s="1">
        <v>196.64260999999999</v>
      </c>
      <c r="AP12" s="1">
        <v>17</v>
      </c>
      <c r="AQ12" s="1">
        <v>58.005249999999997</v>
      </c>
      <c r="AR12" s="1">
        <v>6</v>
      </c>
      <c r="AS12" s="1">
        <v>34.13167</v>
      </c>
      <c r="AT12" s="1">
        <v>34.13167</v>
      </c>
      <c r="AU12" s="1">
        <v>3</v>
      </c>
      <c r="AV12" s="1">
        <v>0</v>
      </c>
      <c r="AW12" s="1">
        <v>0</v>
      </c>
      <c r="AX12" s="1">
        <v>0</v>
      </c>
      <c r="AY12" s="1">
        <v>2076.6937800000001</v>
      </c>
      <c r="AZ12" s="1">
        <v>63</v>
      </c>
      <c r="BA12" s="1">
        <v>63</v>
      </c>
      <c r="BB12" s="1">
        <v>23</v>
      </c>
      <c r="BC12" s="1">
        <v>23</v>
      </c>
      <c r="BD12" s="1">
        <v>18</v>
      </c>
      <c r="BE12" s="1">
        <v>5</v>
      </c>
      <c r="BF12" s="1">
        <v>288.77953000000002</v>
      </c>
      <c r="BG12" s="1">
        <v>92.136920000000003</v>
      </c>
      <c r="BH12" s="1">
        <v>34.13167</v>
      </c>
      <c r="BI12" s="1">
        <v>0</v>
      </c>
      <c r="BJ12" s="1">
        <v>26</v>
      </c>
      <c r="BK12" s="1">
        <v>0</v>
      </c>
      <c r="BL12" s="1">
        <v>157.13064</v>
      </c>
      <c r="BM12" s="1">
        <v>0</v>
      </c>
      <c r="BN12" s="3">
        <v>0.1030787037037037</v>
      </c>
      <c r="BO12" s="1" t="s">
        <v>130</v>
      </c>
      <c r="BP12" s="1" t="s">
        <v>130</v>
      </c>
      <c r="BQ12" s="1" t="s">
        <v>130</v>
      </c>
      <c r="BR12" s="1">
        <v>10.99255</v>
      </c>
      <c r="BS12" s="1">
        <v>167</v>
      </c>
      <c r="BT12" s="1">
        <v>19.269729999999999</v>
      </c>
      <c r="BU12" s="1">
        <v>31</v>
      </c>
      <c r="BV12" s="1">
        <v>16.69717</v>
      </c>
      <c r="BW12" s="1">
        <v>40.895659999999999</v>
      </c>
      <c r="BX12" s="1">
        <v>2.3458199999999998</v>
      </c>
      <c r="BY12" s="1">
        <v>27</v>
      </c>
      <c r="BZ12" s="1">
        <v>16.52403</v>
      </c>
      <c r="CA12" s="1">
        <v>36.74868</v>
      </c>
      <c r="CB12" s="1">
        <v>2.4245399999999999</v>
      </c>
      <c r="CC12" s="1">
        <v>17</v>
      </c>
      <c r="CD12" s="1">
        <v>14.0922</v>
      </c>
      <c r="CE12" s="1">
        <v>21.081589999999998</v>
      </c>
      <c r="CF12" s="1">
        <v>4.9026699999999996</v>
      </c>
      <c r="CG12" s="1">
        <v>6</v>
      </c>
      <c r="CH12" s="1">
        <v>11.070180000000001</v>
      </c>
      <c r="CI12" s="1">
        <v>14.65114</v>
      </c>
      <c r="CJ12" s="1">
        <v>5.4297500000000003</v>
      </c>
      <c r="CK12" s="1">
        <v>3</v>
      </c>
      <c r="CL12" s="1" t="s">
        <v>130</v>
      </c>
      <c r="CM12" s="1" t="s">
        <v>130</v>
      </c>
      <c r="CN12" s="1" t="s">
        <v>130</v>
      </c>
      <c r="CO12" s="1">
        <v>0</v>
      </c>
      <c r="CP12" s="1">
        <v>10.99255</v>
      </c>
      <c r="CQ12" s="1">
        <v>167</v>
      </c>
      <c r="CR12" s="1">
        <v>19.269729999999999</v>
      </c>
      <c r="CS12" s="1">
        <v>31</v>
      </c>
      <c r="CT12" s="1">
        <v>16.67351</v>
      </c>
      <c r="CU12" s="1">
        <v>40.895659999999999</v>
      </c>
      <c r="CV12" s="1">
        <v>2.3458199999999998</v>
      </c>
      <c r="CW12" s="1">
        <v>27</v>
      </c>
      <c r="CX12" s="1">
        <v>16.481249999999999</v>
      </c>
      <c r="CY12" s="1">
        <v>36.74868</v>
      </c>
      <c r="CZ12" s="1">
        <v>2.4245399999999999</v>
      </c>
      <c r="DA12" s="1">
        <v>17</v>
      </c>
      <c r="DB12" s="1">
        <v>14.24804</v>
      </c>
      <c r="DC12" s="1">
        <v>22.016639999999999</v>
      </c>
      <c r="DD12" s="1">
        <v>4.9026699999999996</v>
      </c>
      <c r="DE12" s="1">
        <v>6</v>
      </c>
      <c r="DF12" s="1">
        <v>11.070180000000001</v>
      </c>
      <c r="DG12" s="1">
        <v>14.65114</v>
      </c>
      <c r="DH12" s="1">
        <v>5.4297500000000003</v>
      </c>
      <c r="DI12" s="1">
        <v>3</v>
      </c>
      <c r="DJ12" s="1" t="s">
        <v>130</v>
      </c>
      <c r="DK12" s="1" t="s">
        <v>130</v>
      </c>
      <c r="DL12" s="1" t="s">
        <v>130</v>
      </c>
      <c r="DM12" s="1">
        <v>0</v>
      </c>
      <c r="DN12" s="1">
        <v>34.13167</v>
      </c>
      <c r="DO12" s="1">
        <v>55.437139999999999</v>
      </c>
      <c r="DP12" s="1">
        <v>3.56413</v>
      </c>
      <c r="DQ12" s="1">
        <v>91.415130000000005</v>
      </c>
      <c r="DR12" s="1">
        <v>23</v>
      </c>
      <c r="DS12" s="1">
        <v>4.4675399999999996</v>
      </c>
      <c r="DT12" s="1">
        <v>6.0790800000000003</v>
      </c>
      <c r="DU12" s="1">
        <v>2126.0608099999999</v>
      </c>
      <c r="DV12" s="1">
        <v>140.72833</v>
      </c>
      <c r="DW12" s="1">
        <v>63</v>
      </c>
      <c r="DX12" s="1">
        <v>0</v>
      </c>
      <c r="DY12" s="3">
        <v>0.1030787037037037</v>
      </c>
      <c r="DZ12" t="str">
        <f>IF(GPS_Table[[#This Row],[Max Vel (% Max)]] &gt;= 90, "YES", "NO")</f>
        <v>NO</v>
      </c>
      <c r="EA12"/>
      <c r="EB12"/>
      <c r="EC12"/>
      <c r="ED12"/>
      <c r="EE12"/>
      <c r="EF12"/>
      <c r="EG12"/>
      <c r="EH12"/>
      <c r="EI12"/>
      <c r="EJ12"/>
    </row>
    <row r="13" spans="1:140" ht="14.25" customHeight="1" x14ac:dyDescent="0.2">
      <c r="A13" s="1" t="s">
        <v>154</v>
      </c>
      <c r="B13" s="1" t="s">
        <v>138</v>
      </c>
      <c r="C13" s="1" t="s">
        <v>129</v>
      </c>
      <c r="D13" s="1">
        <v>17.599989999999998</v>
      </c>
      <c r="E13" s="1">
        <v>12.64719</v>
      </c>
      <c r="F13" s="1">
        <v>71.859070000000003</v>
      </c>
      <c r="G13" s="1">
        <v>0.19155</v>
      </c>
      <c r="H13" s="1">
        <v>227.4545</v>
      </c>
      <c r="I13" s="1">
        <v>3639.27196</v>
      </c>
      <c r="J13" s="3">
        <v>6.4351851851851853E-3</v>
      </c>
      <c r="K13" s="3">
        <v>0.1030787037037037</v>
      </c>
      <c r="L13" s="1">
        <v>327.81849999999997</v>
      </c>
      <c r="M13" s="1">
        <v>20.488659999999999</v>
      </c>
      <c r="N13" s="1">
        <v>6.4654100000000003</v>
      </c>
      <c r="O13" s="1">
        <v>2.2082899999999999</v>
      </c>
      <c r="P13" s="1">
        <v>327.81849999999997</v>
      </c>
      <c r="Q13" s="1">
        <v>1706.1409900000001</v>
      </c>
      <c r="R13" s="3">
        <v>2.3148148148148149E-4</v>
      </c>
      <c r="S13" s="1">
        <v>72.495630000000006</v>
      </c>
      <c r="T13" s="1">
        <v>13</v>
      </c>
      <c r="U13" s="1">
        <v>4</v>
      </c>
      <c r="V13" s="3">
        <v>4.6296296296296294E-5</v>
      </c>
      <c r="W13" s="1">
        <v>25</v>
      </c>
      <c r="X13" s="1">
        <v>0</v>
      </c>
      <c r="Y13" s="1">
        <v>0</v>
      </c>
      <c r="Z13" s="3">
        <v>0</v>
      </c>
      <c r="AA13" s="1">
        <v>8</v>
      </c>
      <c r="AB13" s="1">
        <v>13.374890000000001</v>
      </c>
      <c r="AC13" s="3">
        <v>9.2592592592592588E-5</v>
      </c>
      <c r="AD13" s="1">
        <v>8</v>
      </c>
      <c r="AE13" s="1">
        <v>0</v>
      </c>
      <c r="AF13" s="1">
        <v>0</v>
      </c>
      <c r="AG13" s="3">
        <v>0</v>
      </c>
      <c r="AH13" s="1">
        <v>0</v>
      </c>
      <c r="AI13" s="1">
        <v>0</v>
      </c>
      <c r="AJ13" s="1">
        <v>0</v>
      </c>
      <c r="AK13" s="3">
        <v>0</v>
      </c>
      <c r="AL13" s="1">
        <v>0</v>
      </c>
      <c r="AM13" s="1">
        <v>4.1425599999999996</v>
      </c>
      <c r="AN13" s="1">
        <v>-2.7716599999999998</v>
      </c>
      <c r="AO13" s="1">
        <v>13.681100000000001</v>
      </c>
      <c r="AP13" s="1">
        <v>3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1411.2317</v>
      </c>
      <c r="AZ13" s="1">
        <v>25</v>
      </c>
      <c r="BA13" s="1">
        <v>25</v>
      </c>
      <c r="BB13" s="1">
        <v>4</v>
      </c>
      <c r="BC13" s="1">
        <v>4</v>
      </c>
      <c r="BD13" s="1">
        <v>4</v>
      </c>
      <c r="BE13" s="1">
        <v>0</v>
      </c>
      <c r="BF13" s="1">
        <v>13.681100000000001</v>
      </c>
      <c r="BG13" s="1">
        <v>0</v>
      </c>
      <c r="BH13" s="1">
        <v>0</v>
      </c>
      <c r="BI13" s="1">
        <v>0</v>
      </c>
      <c r="BJ13" s="1">
        <v>3</v>
      </c>
      <c r="BK13" s="1">
        <v>0</v>
      </c>
      <c r="BL13" s="1">
        <v>126.22963</v>
      </c>
      <c r="BM13" s="1">
        <v>0</v>
      </c>
      <c r="BN13" s="3">
        <v>0.1030787037037037</v>
      </c>
      <c r="BO13" s="1" t="s">
        <v>130</v>
      </c>
      <c r="BP13" s="1" t="s">
        <v>130</v>
      </c>
      <c r="BQ13" s="1" t="s">
        <v>130</v>
      </c>
      <c r="BR13" s="1">
        <v>6.8684099999999999</v>
      </c>
      <c r="BS13" s="1">
        <v>191</v>
      </c>
      <c r="BT13" s="1">
        <v>8.5212199999999996</v>
      </c>
      <c r="BU13" s="1">
        <v>29</v>
      </c>
      <c r="BV13" s="1">
        <v>5.19773</v>
      </c>
      <c r="BW13" s="1">
        <v>8.7332199999999993</v>
      </c>
      <c r="BX13" s="1">
        <v>0</v>
      </c>
      <c r="BY13" s="1">
        <v>10</v>
      </c>
      <c r="BZ13" s="1">
        <v>3.18405</v>
      </c>
      <c r="CA13" s="1">
        <v>5.84253</v>
      </c>
      <c r="CB13" s="1">
        <v>1.84934</v>
      </c>
      <c r="CC13" s="1">
        <v>3</v>
      </c>
      <c r="CD13" s="1" t="s">
        <v>130</v>
      </c>
      <c r="CE13" s="1" t="s">
        <v>130</v>
      </c>
      <c r="CF13" s="1" t="s">
        <v>130</v>
      </c>
      <c r="CG13" s="1">
        <v>0</v>
      </c>
      <c r="CH13" s="1" t="s">
        <v>130</v>
      </c>
      <c r="CI13" s="1" t="s">
        <v>130</v>
      </c>
      <c r="CJ13" s="1" t="s">
        <v>130</v>
      </c>
      <c r="CK13" s="1">
        <v>0</v>
      </c>
      <c r="CL13" s="1" t="s">
        <v>130</v>
      </c>
      <c r="CM13" s="1" t="s">
        <v>130</v>
      </c>
      <c r="CN13" s="1" t="s">
        <v>130</v>
      </c>
      <c r="CO13" s="1">
        <v>0</v>
      </c>
      <c r="CP13" s="1">
        <v>6.92319</v>
      </c>
      <c r="CQ13" s="1">
        <v>188</v>
      </c>
      <c r="CR13" s="1">
        <v>8.5212199999999996</v>
      </c>
      <c r="CS13" s="1">
        <v>29</v>
      </c>
      <c r="CT13" s="1">
        <v>5.1553699999999996</v>
      </c>
      <c r="CU13" s="1">
        <v>8.7332199999999993</v>
      </c>
      <c r="CV13" s="1">
        <v>0</v>
      </c>
      <c r="CW13" s="1">
        <v>10</v>
      </c>
      <c r="CX13" s="1">
        <v>3.18405</v>
      </c>
      <c r="CY13" s="1">
        <v>5.84253</v>
      </c>
      <c r="CZ13" s="1">
        <v>1.84934</v>
      </c>
      <c r="DA13" s="1">
        <v>3</v>
      </c>
      <c r="DB13" s="1" t="s">
        <v>130</v>
      </c>
      <c r="DC13" s="1" t="s">
        <v>130</v>
      </c>
      <c r="DD13" s="1" t="s">
        <v>130</v>
      </c>
      <c r="DE13" s="1">
        <v>0</v>
      </c>
      <c r="DF13" s="1" t="s">
        <v>130</v>
      </c>
      <c r="DG13" s="1" t="s">
        <v>130</v>
      </c>
      <c r="DH13" s="1" t="s">
        <v>130</v>
      </c>
      <c r="DI13" s="1">
        <v>0</v>
      </c>
      <c r="DJ13" s="1" t="s">
        <v>130</v>
      </c>
      <c r="DK13" s="1" t="s">
        <v>130</v>
      </c>
      <c r="DL13" s="1" t="s">
        <v>130</v>
      </c>
      <c r="DM13" s="1">
        <v>0</v>
      </c>
      <c r="DN13" s="1">
        <v>0</v>
      </c>
      <c r="DO13" s="1">
        <v>8.46983</v>
      </c>
      <c r="DP13" s="1">
        <v>4.6881399999999998</v>
      </c>
      <c r="DQ13" s="1">
        <v>25</v>
      </c>
      <c r="DR13" s="1">
        <v>4</v>
      </c>
      <c r="DS13" s="1">
        <v>4.7282299999999999</v>
      </c>
      <c r="DT13" s="1">
        <v>0.37592999999999999</v>
      </c>
      <c r="DU13" s="1">
        <v>1408.37707</v>
      </c>
      <c r="DV13" s="1">
        <v>141.30667</v>
      </c>
      <c r="DW13" s="1">
        <v>25</v>
      </c>
      <c r="DX13" s="1">
        <v>0</v>
      </c>
      <c r="DY13" s="3">
        <v>0.1030787037037037</v>
      </c>
      <c r="DZ13" t="str">
        <f>IF(GPS_Table[[#This Row],[Max Vel (% Max)]] &gt;= 90, "YES", "NO")</f>
        <v>NO</v>
      </c>
    </row>
    <row r="14" spans="1:140" ht="14.25" customHeight="1" x14ac:dyDescent="0.2">
      <c r="A14" s="1" t="s">
        <v>155</v>
      </c>
      <c r="B14" s="1" t="s">
        <v>138</v>
      </c>
      <c r="C14" s="1" t="s">
        <v>129</v>
      </c>
      <c r="D14" s="1">
        <v>18.33999</v>
      </c>
      <c r="E14" s="1">
        <v>11.410310000000001</v>
      </c>
      <c r="F14" s="1">
        <v>62.215449999999997</v>
      </c>
      <c r="G14" s="1">
        <v>0.14430999999999999</v>
      </c>
      <c r="H14" s="1">
        <v>203.59952999999999</v>
      </c>
      <c r="I14" s="1">
        <v>3257.5924500000001</v>
      </c>
      <c r="J14" s="3">
        <v>6.4351851851851853E-3</v>
      </c>
      <c r="K14" s="3">
        <v>0.1030787037037037</v>
      </c>
      <c r="L14" s="1">
        <v>293.73971999999998</v>
      </c>
      <c r="M14" s="1">
        <v>18.358730000000001</v>
      </c>
      <c r="N14" s="1">
        <v>6.8467099999999999</v>
      </c>
      <c r="O14" s="1">
        <v>1.97872</v>
      </c>
      <c r="P14" s="1">
        <v>293.73971999999998</v>
      </c>
      <c r="Q14" s="1">
        <v>1285.33348</v>
      </c>
      <c r="R14" s="3">
        <v>2.3148148148148149E-4</v>
      </c>
      <c r="S14" s="1">
        <v>58.792650000000002</v>
      </c>
      <c r="T14" s="1">
        <v>11</v>
      </c>
      <c r="U14" s="1">
        <v>2</v>
      </c>
      <c r="V14" s="3">
        <v>4.6296296296296294E-5</v>
      </c>
      <c r="W14" s="1">
        <v>19.09449</v>
      </c>
      <c r="X14" s="1">
        <v>0</v>
      </c>
      <c r="Y14" s="1">
        <v>0.36088999999999999</v>
      </c>
      <c r="Z14" s="3">
        <v>0</v>
      </c>
      <c r="AA14" s="1">
        <v>3</v>
      </c>
      <c r="AB14" s="1">
        <v>8.1364800000000006</v>
      </c>
      <c r="AC14" s="3">
        <v>4.6296296296296294E-5</v>
      </c>
      <c r="AD14" s="1">
        <v>3</v>
      </c>
      <c r="AE14" s="1">
        <v>0</v>
      </c>
      <c r="AF14" s="1">
        <v>0</v>
      </c>
      <c r="AG14" s="3">
        <v>5.7870370370370373E-5</v>
      </c>
      <c r="AH14" s="1">
        <v>0</v>
      </c>
      <c r="AI14" s="1">
        <v>0</v>
      </c>
      <c r="AJ14" s="1">
        <v>0</v>
      </c>
      <c r="AK14" s="3">
        <v>0</v>
      </c>
      <c r="AL14" s="1">
        <v>0</v>
      </c>
      <c r="AM14" s="1">
        <v>4.1613800000000003</v>
      </c>
      <c r="AN14" s="1">
        <v>-2.8864700000000001</v>
      </c>
      <c r="AO14" s="1">
        <v>8.2895900000000005</v>
      </c>
      <c r="AP14" s="1">
        <v>2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1466.60383</v>
      </c>
      <c r="AZ14" s="1">
        <v>16</v>
      </c>
      <c r="BA14" s="1">
        <v>16</v>
      </c>
      <c r="BB14" s="1">
        <v>2</v>
      </c>
      <c r="BC14" s="1">
        <v>2</v>
      </c>
      <c r="BD14" s="1">
        <v>2</v>
      </c>
      <c r="BE14" s="1">
        <v>0</v>
      </c>
      <c r="BF14" s="1">
        <v>8.2895900000000005</v>
      </c>
      <c r="BG14" s="1">
        <v>0</v>
      </c>
      <c r="BH14" s="1">
        <v>0</v>
      </c>
      <c r="BI14" s="1">
        <v>0</v>
      </c>
      <c r="BJ14" s="1">
        <v>2</v>
      </c>
      <c r="BK14" s="1">
        <v>0</v>
      </c>
      <c r="BL14" s="1">
        <v>112.11450000000001</v>
      </c>
      <c r="BM14" s="1">
        <v>0</v>
      </c>
      <c r="BN14" s="3">
        <v>0.1030787037037037</v>
      </c>
      <c r="BO14" s="1" t="s">
        <v>130</v>
      </c>
      <c r="BP14" s="1" t="s">
        <v>130</v>
      </c>
      <c r="BQ14" s="1" t="s">
        <v>130</v>
      </c>
      <c r="BR14" s="1">
        <v>8.2161500000000007</v>
      </c>
      <c r="BS14" s="1">
        <v>163</v>
      </c>
      <c r="BT14" s="1">
        <v>7.0635599999999998</v>
      </c>
      <c r="BU14" s="1">
        <v>16</v>
      </c>
      <c r="BV14" s="1">
        <v>6.03017</v>
      </c>
      <c r="BW14" s="1">
        <v>14.76712</v>
      </c>
      <c r="BX14" s="1">
        <v>1.9729000000000001</v>
      </c>
      <c r="BY14" s="1">
        <v>8</v>
      </c>
      <c r="BZ14" s="1">
        <v>2.5586600000000002</v>
      </c>
      <c r="CA14" s="1">
        <v>2.8980700000000001</v>
      </c>
      <c r="CB14" s="1">
        <v>0</v>
      </c>
      <c r="CC14" s="1">
        <v>2</v>
      </c>
      <c r="CD14" s="1" t="s">
        <v>130</v>
      </c>
      <c r="CE14" s="1" t="s">
        <v>130</v>
      </c>
      <c r="CF14" s="1" t="s">
        <v>130</v>
      </c>
      <c r="CG14" s="1">
        <v>0</v>
      </c>
      <c r="CH14" s="1" t="s">
        <v>130</v>
      </c>
      <c r="CI14" s="1" t="s">
        <v>130</v>
      </c>
      <c r="CJ14" s="1" t="s">
        <v>130</v>
      </c>
      <c r="CK14" s="1">
        <v>0</v>
      </c>
      <c r="CL14" s="1" t="s">
        <v>130</v>
      </c>
      <c r="CM14" s="1" t="s">
        <v>130</v>
      </c>
      <c r="CN14" s="1" t="s">
        <v>130</v>
      </c>
      <c r="CO14" s="1">
        <v>0</v>
      </c>
      <c r="CP14" s="1">
        <v>8.2209000000000003</v>
      </c>
      <c r="CQ14" s="1">
        <v>163</v>
      </c>
      <c r="CR14" s="1">
        <v>7.0635599999999998</v>
      </c>
      <c r="CS14" s="1">
        <v>16</v>
      </c>
      <c r="CT14" s="1">
        <v>6.03017</v>
      </c>
      <c r="CU14" s="1">
        <v>14.76712</v>
      </c>
      <c r="CV14" s="1">
        <v>1.9729000000000001</v>
      </c>
      <c r="CW14" s="1">
        <v>8</v>
      </c>
      <c r="CX14" s="1">
        <v>2.5586600000000002</v>
      </c>
      <c r="CY14" s="1">
        <v>2.8980700000000001</v>
      </c>
      <c r="CZ14" s="1">
        <v>0</v>
      </c>
      <c r="DA14" s="1">
        <v>2</v>
      </c>
      <c r="DB14" s="1" t="s">
        <v>130</v>
      </c>
      <c r="DC14" s="1" t="s">
        <v>130</v>
      </c>
      <c r="DD14" s="1" t="s">
        <v>130</v>
      </c>
      <c r="DE14" s="1">
        <v>0</v>
      </c>
      <c r="DF14" s="1" t="s">
        <v>130</v>
      </c>
      <c r="DG14" s="1" t="s">
        <v>130</v>
      </c>
      <c r="DH14" s="1" t="s">
        <v>130</v>
      </c>
      <c r="DI14" s="1">
        <v>0</v>
      </c>
      <c r="DJ14" s="1" t="s">
        <v>130</v>
      </c>
      <c r="DK14" s="1" t="s">
        <v>130</v>
      </c>
      <c r="DL14" s="1" t="s">
        <v>130</v>
      </c>
      <c r="DM14" s="1">
        <v>0</v>
      </c>
      <c r="DN14" s="1">
        <v>0</v>
      </c>
      <c r="DO14" s="1">
        <v>6.0206200000000001</v>
      </c>
      <c r="DP14" s="1">
        <v>3.9456500000000001</v>
      </c>
      <c r="DQ14" s="1">
        <v>19.455380000000002</v>
      </c>
      <c r="DR14" s="1">
        <v>2</v>
      </c>
      <c r="DS14" s="1">
        <v>4.4256900000000003</v>
      </c>
      <c r="DT14" s="1">
        <v>0.25446999999999997</v>
      </c>
      <c r="DU14" s="1">
        <v>1476.53107</v>
      </c>
      <c r="DV14" s="1">
        <v>141.20500000000001</v>
      </c>
      <c r="DW14" s="1">
        <v>16</v>
      </c>
      <c r="DX14" s="1">
        <v>0</v>
      </c>
      <c r="DY14" s="3">
        <v>0.1030787037037037</v>
      </c>
      <c r="DZ14" t="str">
        <f>IF(GPS_Table[[#This Row],[Max Vel (% Max)]] &gt;= 90, "YES", "NO")</f>
        <v>NO</v>
      </c>
    </row>
    <row r="15" spans="1:140" ht="14.25" customHeight="1" x14ac:dyDescent="0.2">
      <c r="A15" s="1" t="s">
        <v>156</v>
      </c>
      <c r="B15" s="1" t="s">
        <v>138</v>
      </c>
      <c r="C15" s="1" t="s">
        <v>129</v>
      </c>
      <c r="D15" s="1">
        <v>19.3</v>
      </c>
      <c r="E15" s="1">
        <v>13.123060000000001</v>
      </c>
      <c r="F15" s="1">
        <v>67.99512</v>
      </c>
      <c r="G15" s="1">
        <v>0.18823999999999999</v>
      </c>
      <c r="H15" s="1">
        <v>236.37698</v>
      </c>
      <c r="I15" s="1">
        <v>3782.0317599999998</v>
      </c>
      <c r="J15" s="3">
        <v>6.4351851851851853E-3</v>
      </c>
      <c r="K15" s="3">
        <v>0.1030787037037037</v>
      </c>
      <c r="L15" s="1">
        <v>399.07814999999999</v>
      </c>
      <c r="M15" s="1">
        <v>24.94238</v>
      </c>
      <c r="N15" s="1">
        <v>10.40597</v>
      </c>
      <c r="O15" s="1">
        <v>2.68832</v>
      </c>
      <c r="P15" s="1">
        <v>399.07814999999999</v>
      </c>
      <c r="Q15" s="1">
        <v>1676.66491</v>
      </c>
      <c r="R15" s="3">
        <v>3.9351851851851852E-4</v>
      </c>
      <c r="S15" s="1">
        <v>121.56605</v>
      </c>
      <c r="T15" s="1">
        <v>21</v>
      </c>
      <c r="U15" s="1">
        <v>9</v>
      </c>
      <c r="V15" s="3">
        <v>6.9444444444444444E-5</v>
      </c>
      <c r="W15" s="1">
        <v>36.297029999999999</v>
      </c>
      <c r="X15" s="1">
        <v>0</v>
      </c>
      <c r="Y15" s="1">
        <v>0</v>
      </c>
      <c r="Z15" s="3">
        <v>0</v>
      </c>
      <c r="AA15" s="1">
        <v>9</v>
      </c>
      <c r="AB15" s="1">
        <v>16.087050000000001</v>
      </c>
      <c r="AC15" s="3">
        <v>1.5046296296296297E-4</v>
      </c>
      <c r="AD15" s="1">
        <v>9</v>
      </c>
      <c r="AE15" s="1">
        <v>0</v>
      </c>
      <c r="AF15" s="1">
        <v>0.19685</v>
      </c>
      <c r="AG15" s="3">
        <v>0</v>
      </c>
      <c r="AH15" s="1">
        <v>0</v>
      </c>
      <c r="AI15" s="1">
        <v>0</v>
      </c>
      <c r="AJ15" s="1">
        <v>0</v>
      </c>
      <c r="AK15" s="3">
        <v>0</v>
      </c>
      <c r="AL15" s="1">
        <v>0</v>
      </c>
      <c r="AM15" s="1">
        <v>4.2492999999999999</v>
      </c>
      <c r="AN15" s="1">
        <v>-3.2700399999999998</v>
      </c>
      <c r="AO15" s="1">
        <v>19.510059999999999</v>
      </c>
      <c r="AP15" s="1">
        <v>3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1871.8174100000001</v>
      </c>
      <c r="AZ15" s="1">
        <v>39</v>
      </c>
      <c r="BA15" s="1">
        <v>39</v>
      </c>
      <c r="BB15" s="1">
        <v>9</v>
      </c>
      <c r="BC15" s="1">
        <v>9</v>
      </c>
      <c r="BD15" s="1">
        <v>9</v>
      </c>
      <c r="BE15" s="1">
        <v>0</v>
      </c>
      <c r="BF15" s="1">
        <v>19.510059999999999</v>
      </c>
      <c r="BG15" s="1">
        <v>0</v>
      </c>
      <c r="BH15" s="1">
        <v>0</v>
      </c>
      <c r="BI15" s="1">
        <v>0</v>
      </c>
      <c r="BJ15" s="1">
        <v>3</v>
      </c>
      <c r="BK15" s="1">
        <v>0</v>
      </c>
      <c r="BL15" s="1">
        <v>127.62877</v>
      </c>
      <c r="BM15" s="1">
        <v>0</v>
      </c>
      <c r="BN15" s="3">
        <v>0.1030787037037037</v>
      </c>
      <c r="BO15" s="1" t="s">
        <v>130</v>
      </c>
      <c r="BP15" s="1" t="s">
        <v>130</v>
      </c>
      <c r="BQ15" s="1" t="s">
        <v>130</v>
      </c>
      <c r="BR15" s="1">
        <v>9.1786700000000003</v>
      </c>
      <c r="BS15" s="1">
        <v>195</v>
      </c>
      <c r="BT15" s="1">
        <v>7.6084199999999997</v>
      </c>
      <c r="BU15" s="1">
        <v>42</v>
      </c>
      <c r="BV15" s="1">
        <v>7.4438800000000001</v>
      </c>
      <c r="BW15" s="1">
        <v>16.657779999999999</v>
      </c>
      <c r="BX15" s="1">
        <v>1.4457800000000001</v>
      </c>
      <c r="BY15" s="1">
        <v>15</v>
      </c>
      <c r="BZ15" s="1">
        <v>3.3232900000000001</v>
      </c>
      <c r="CA15" s="1">
        <v>4.2097199999999999</v>
      </c>
      <c r="CB15" s="1">
        <v>0</v>
      </c>
      <c r="CC15" s="1">
        <v>3</v>
      </c>
      <c r="CD15" s="1" t="s">
        <v>130</v>
      </c>
      <c r="CE15" s="1" t="s">
        <v>130</v>
      </c>
      <c r="CF15" s="1" t="s">
        <v>130</v>
      </c>
      <c r="CG15" s="1">
        <v>0</v>
      </c>
      <c r="CH15" s="1" t="s">
        <v>130</v>
      </c>
      <c r="CI15" s="1" t="s">
        <v>130</v>
      </c>
      <c r="CJ15" s="1" t="s">
        <v>130</v>
      </c>
      <c r="CK15" s="1">
        <v>0</v>
      </c>
      <c r="CL15" s="1" t="s">
        <v>130</v>
      </c>
      <c r="CM15" s="1" t="s">
        <v>130</v>
      </c>
      <c r="CN15" s="1" t="s">
        <v>130</v>
      </c>
      <c r="CO15" s="1">
        <v>0</v>
      </c>
      <c r="CP15" s="1">
        <v>9.2695100000000004</v>
      </c>
      <c r="CQ15" s="1">
        <v>194</v>
      </c>
      <c r="CR15" s="1">
        <v>7.6084199999999997</v>
      </c>
      <c r="CS15" s="1">
        <v>42</v>
      </c>
      <c r="CT15" s="1">
        <v>7.4438800000000001</v>
      </c>
      <c r="CU15" s="1">
        <v>16.657779999999999</v>
      </c>
      <c r="CV15" s="1">
        <v>1.4457800000000001</v>
      </c>
      <c r="CW15" s="1">
        <v>15</v>
      </c>
      <c r="CX15" s="1">
        <v>3.5052300000000001</v>
      </c>
      <c r="CY15" s="1">
        <v>4.7555199999999997</v>
      </c>
      <c r="CZ15" s="1">
        <v>0</v>
      </c>
      <c r="DA15" s="1">
        <v>3</v>
      </c>
      <c r="DB15" s="1" t="s">
        <v>130</v>
      </c>
      <c r="DC15" s="1" t="s">
        <v>130</v>
      </c>
      <c r="DD15" s="1" t="s">
        <v>130</v>
      </c>
      <c r="DE15" s="1">
        <v>0</v>
      </c>
      <c r="DF15" s="1" t="s">
        <v>130</v>
      </c>
      <c r="DG15" s="1" t="s">
        <v>130</v>
      </c>
      <c r="DH15" s="1" t="s">
        <v>130</v>
      </c>
      <c r="DI15" s="1">
        <v>0</v>
      </c>
      <c r="DJ15" s="1" t="s">
        <v>130</v>
      </c>
      <c r="DK15" s="1" t="s">
        <v>130</v>
      </c>
      <c r="DL15" s="1" t="s">
        <v>130</v>
      </c>
      <c r="DM15" s="1">
        <v>0</v>
      </c>
      <c r="DN15" s="1">
        <v>0</v>
      </c>
      <c r="DO15" s="1">
        <v>13.761520000000001</v>
      </c>
      <c r="DP15" s="1">
        <v>4.4332399999999996</v>
      </c>
      <c r="DQ15" s="1">
        <v>36.493879999999997</v>
      </c>
      <c r="DR15" s="1">
        <v>9</v>
      </c>
      <c r="DS15" s="1">
        <v>7.5173199999999998</v>
      </c>
      <c r="DT15" s="1">
        <v>0.51585999999999999</v>
      </c>
      <c r="DU15" s="1">
        <v>1861.7235599999999</v>
      </c>
      <c r="DV15" s="1">
        <v>138.64167</v>
      </c>
      <c r="DW15" s="1">
        <v>39</v>
      </c>
      <c r="DX15" s="1">
        <v>0</v>
      </c>
      <c r="DY15" s="3">
        <v>0.1030787037037037</v>
      </c>
      <c r="DZ15" t="str">
        <f>IF(GPS_Table[[#This Row],[Max Vel (% Max)]] &gt;= 90, "YES", "NO")</f>
        <v>NO</v>
      </c>
    </row>
    <row r="16" spans="1:140" ht="14.25" customHeight="1" x14ac:dyDescent="0.2">
      <c r="A16" s="1" t="s">
        <v>157</v>
      </c>
      <c r="B16" s="1" t="s">
        <v>132</v>
      </c>
      <c r="C16" s="1" t="s">
        <v>129</v>
      </c>
      <c r="D16" s="1">
        <v>20.8</v>
      </c>
      <c r="E16" s="1">
        <v>17.33663</v>
      </c>
      <c r="F16" s="1">
        <v>83.349180000000004</v>
      </c>
      <c r="G16" s="1">
        <v>0.26651000000000002</v>
      </c>
      <c r="H16" s="1">
        <v>346.06144</v>
      </c>
      <c r="I16" s="1">
        <v>5883.0445</v>
      </c>
      <c r="J16" s="3">
        <v>6.053240740740741E-3</v>
      </c>
      <c r="K16" s="3">
        <v>0.1030787037037037</v>
      </c>
      <c r="L16" s="1">
        <v>482.32459</v>
      </c>
      <c r="M16" s="1">
        <v>28.372029999999999</v>
      </c>
      <c r="N16" s="1">
        <v>7.61592</v>
      </c>
      <c r="O16" s="1">
        <v>3.2490899999999998</v>
      </c>
      <c r="P16" s="1">
        <v>482.32459</v>
      </c>
      <c r="Q16" s="1">
        <v>2373.8029799999999</v>
      </c>
      <c r="R16" s="3">
        <v>7.7546296296296293E-4</v>
      </c>
      <c r="S16" s="1">
        <v>284.74409000000003</v>
      </c>
      <c r="T16" s="1">
        <v>48</v>
      </c>
      <c r="U16" s="1">
        <v>8</v>
      </c>
      <c r="V16" s="3">
        <v>9.2592592592592588E-5</v>
      </c>
      <c r="W16" s="1">
        <v>42.968069999999997</v>
      </c>
      <c r="X16" s="1">
        <v>0</v>
      </c>
      <c r="Y16" s="1">
        <v>3.7948400000000002</v>
      </c>
      <c r="Z16" s="3">
        <v>0</v>
      </c>
      <c r="AA16" s="1">
        <v>36</v>
      </c>
      <c r="AB16" s="1">
        <v>65.124669999999995</v>
      </c>
      <c r="AC16" s="3">
        <v>7.5231481481481482E-4</v>
      </c>
      <c r="AD16" s="1">
        <v>36</v>
      </c>
      <c r="AE16" s="1">
        <v>3</v>
      </c>
      <c r="AF16" s="1">
        <v>2.6246700000000001</v>
      </c>
      <c r="AG16" s="3">
        <v>3.4722222222222222E-5</v>
      </c>
      <c r="AH16" s="1">
        <v>3</v>
      </c>
      <c r="AI16" s="1">
        <v>0</v>
      </c>
      <c r="AJ16" s="1">
        <v>0.65617000000000003</v>
      </c>
      <c r="AK16" s="3">
        <v>0</v>
      </c>
      <c r="AL16" s="1">
        <v>0</v>
      </c>
      <c r="AM16" s="1">
        <v>4.4638</v>
      </c>
      <c r="AN16" s="1">
        <v>-4.4117899999999999</v>
      </c>
      <c r="AO16" s="1">
        <v>173.40332000000001</v>
      </c>
      <c r="AP16" s="1">
        <v>14</v>
      </c>
      <c r="AQ16" s="1">
        <v>37.981189999999998</v>
      </c>
      <c r="AR16" s="1">
        <v>4</v>
      </c>
      <c r="AS16" s="1">
        <v>3.9916900000000002</v>
      </c>
      <c r="AT16" s="1">
        <v>3.9916900000000002</v>
      </c>
      <c r="AU16" s="1">
        <v>1</v>
      </c>
      <c r="AV16" s="1">
        <v>0</v>
      </c>
      <c r="AW16" s="1">
        <v>0</v>
      </c>
      <c r="AX16" s="1">
        <v>0</v>
      </c>
      <c r="AY16" s="1">
        <v>3423.0160500000002</v>
      </c>
      <c r="AZ16" s="1">
        <v>95</v>
      </c>
      <c r="BA16" s="1">
        <v>95</v>
      </c>
      <c r="BB16" s="1">
        <v>11</v>
      </c>
      <c r="BC16" s="1">
        <v>11</v>
      </c>
      <c r="BD16" s="1">
        <v>8</v>
      </c>
      <c r="BE16" s="1">
        <v>3</v>
      </c>
      <c r="BF16" s="1">
        <v>215.37620000000001</v>
      </c>
      <c r="BG16" s="1">
        <v>41.972880000000004</v>
      </c>
      <c r="BH16" s="1">
        <v>3.9916900000000002</v>
      </c>
      <c r="BI16" s="1">
        <v>0</v>
      </c>
      <c r="BJ16" s="1">
        <v>19</v>
      </c>
      <c r="BK16" s="1">
        <v>0</v>
      </c>
      <c r="BL16" s="1">
        <v>199.26886999999999</v>
      </c>
      <c r="BM16" s="1">
        <v>0</v>
      </c>
      <c r="BN16" s="3">
        <v>0.1030787037037037</v>
      </c>
      <c r="BO16" s="1" t="s">
        <v>130</v>
      </c>
      <c r="BP16" s="1" t="s">
        <v>130</v>
      </c>
      <c r="BQ16" s="1" t="s">
        <v>130</v>
      </c>
      <c r="BR16" s="1">
        <v>10.71382</v>
      </c>
      <c r="BS16" s="1">
        <v>295</v>
      </c>
      <c r="BT16" s="1">
        <v>12.12799</v>
      </c>
      <c r="BU16" s="1">
        <v>51</v>
      </c>
      <c r="BV16" s="1">
        <v>15.17628</v>
      </c>
      <c r="BW16" s="1">
        <v>36.486190000000001</v>
      </c>
      <c r="BX16" s="1">
        <v>0</v>
      </c>
      <c r="BY16" s="1">
        <v>24</v>
      </c>
      <c r="BZ16" s="1">
        <v>14.22494</v>
      </c>
      <c r="CA16" s="1">
        <v>29.029949999999999</v>
      </c>
      <c r="CB16" s="1">
        <v>2.2539799999999999</v>
      </c>
      <c r="CC16" s="1">
        <v>15</v>
      </c>
      <c r="CD16" s="1">
        <v>8.3360099999999999</v>
      </c>
      <c r="CE16" s="1">
        <v>11.9411</v>
      </c>
      <c r="CF16" s="1">
        <v>4.50448</v>
      </c>
      <c r="CG16" s="1">
        <v>4</v>
      </c>
      <c r="CH16" s="1">
        <v>3.20662</v>
      </c>
      <c r="CI16" s="1">
        <v>3.20662</v>
      </c>
      <c r="CJ16" s="1">
        <v>3.20662</v>
      </c>
      <c r="CK16" s="1">
        <v>1</v>
      </c>
      <c r="CL16" s="1" t="s">
        <v>130</v>
      </c>
      <c r="CM16" s="1" t="s">
        <v>130</v>
      </c>
      <c r="CN16" s="1" t="s">
        <v>130</v>
      </c>
      <c r="CO16" s="1">
        <v>0</v>
      </c>
      <c r="CP16" s="1">
        <v>10.77346</v>
      </c>
      <c r="CQ16" s="1">
        <v>296</v>
      </c>
      <c r="CR16" s="1">
        <v>12.30932</v>
      </c>
      <c r="CS16" s="1">
        <v>51</v>
      </c>
      <c r="CT16" s="1">
        <v>14.88462</v>
      </c>
      <c r="CU16" s="1">
        <v>36.486190000000001</v>
      </c>
      <c r="CV16" s="1">
        <v>0</v>
      </c>
      <c r="CW16" s="1">
        <v>25</v>
      </c>
      <c r="CX16" s="1">
        <v>14.60384</v>
      </c>
      <c r="CY16" s="1">
        <v>29.701440000000002</v>
      </c>
      <c r="CZ16" s="1">
        <v>0</v>
      </c>
      <c r="DA16" s="1">
        <v>15</v>
      </c>
      <c r="DB16" s="1">
        <v>7.4019500000000003</v>
      </c>
      <c r="DC16" s="1">
        <v>12.61927</v>
      </c>
      <c r="DD16" s="1">
        <v>3.5761400000000001</v>
      </c>
      <c r="DE16" s="1">
        <v>6</v>
      </c>
      <c r="DF16" s="1">
        <v>3.9921199999999999</v>
      </c>
      <c r="DG16" s="1">
        <v>3.9921199999999999</v>
      </c>
      <c r="DH16" s="1">
        <v>3.9921199999999999</v>
      </c>
      <c r="DI16" s="1">
        <v>1</v>
      </c>
      <c r="DJ16" s="1" t="s">
        <v>130</v>
      </c>
      <c r="DK16" s="1" t="s">
        <v>130</v>
      </c>
      <c r="DL16" s="1" t="s">
        <v>130</v>
      </c>
      <c r="DM16" s="1">
        <v>0</v>
      </c>
      <c r="DN16" s="1">
        <v>3.9916900000000002</v>
      </c>
      <c r="DO16" s="1">
        <v>32.765799999999999</v>
      </c>
      <c r="DP16" s="1">
        <v>4.0349899999999996</v>
      </c>
      <c r="DQ16" s="1">
        <v>50.043750000000003</v>
      </c>
      <c r="DR16" s="1">
        <v>11</v>
      </c>
      <c r="DS16" s="1">
        <v>2.4879500000000001</v>
      </c>
      <c r="DT16" s="1">
        <v>3.6609600000000002</v>
      </c>
      <c r="DU16" s="1">
        <v>3418.2305099999999</v>
      </c>
      <c r="DV16" s="1">
        <v>134.37166999999999</v>
      </c>
      <c r="DW16" s="1">
        <v>95</v>
      </c>
      <c r="DX16" s="1">
        <v>0</v>
      </c>
      <c r="DY16" s="3">
        <v>0.1030787037037037</v>
      </c>
      <c r="DZ16" t="str">
        <f>IF(GPS_Table[[#This Row],[Max Vel (% Max)]] &gt;= 90, "YES", "NO")</f>
        <v>NO</v>
      </c>
    </row>
    <row r="17" spans="1:140" ht="14.25" customHeight="1" x14ac:dyDescent="0.2">
      <c r="A17" s="1" t="s">
        <v>158</v>
      </c>
      <c r="B17" s="1" t="s">
        <v>132</v>
      </c>
      <c r="C17" s="1" t="s">
        <v>129</v>
      </c>
      <c r="D17" s="1">
        <v>21.2</v>
      </c>
      <c r="E17" s="1">
        <v>17.661429999999999</v>
      </c>
      <c r="F17" s="1">
        <v>83.308610000000002</v>
      </c>
      <c r="G17" s="1">
        <v>0.21554000000000001</v>
      </c>
      <c r="H17" s="1">
        <v>278.39629000000002</v>
      </c>
      <c r="I17" s="1">
        <v>4732.7368500000002</v>
      </c>
      <c r="J17" s="3">
        <v>6.053240740740741E-3</v>
      </c>
      <c r="K17" s="3">
        <v>0.1030787037037037</v>
      </c>
      <c r="L17" s="1">
        <v>422.29158999999999</v>
      </c>
      <c r="M17" s="1">
        <v>24.840679999999999</v>
      </c>
      <c r="N17" s="1">
        <v>5.7258599999999999</v>
      </c>
      <c r="O17" s="1">
        <v>2.8446899999999999</v>
      </c>
      <c r="P17" s="1">
        <v>422.29158999999999</v>
      </c>
      <c r="Q17" s="1">
        <v>1919.82484</v>
      </c>
      <c r="R17" s="3">
        <v>7.0601851851851847E-4</v>
      </c>
      <c r="S17" s="1">
        <v>249.93438</v>
      </c>
      <c r="T17" s="1">
        <v>51</v>
      </c>
      <c r="U17" s="1">
        <v>7</v>
      </c>
      <c r="V17" s="3">
        <v>9.2592592592592588E-5</v>
      </c>
      <c r="W17" s="1">
        <v>32.928699999999999</v>
      </c>
      <c r="X17" s="1">
        <v>0</v>
      </c>
      <c r="Y17" s="1">
        <v>0.80927000000000004</v>
      </c>
      <c r="Z17" s="3">
        <v>0</v>
      </c>
      <c r="AA17" s="1">
        <v>29</v>
      </c>
      <c r="AB17" s="1">
        <v>53.291780000000003</v>
      </c>
      <c r="AC17" s="3">
        <v>4.3981481481481481E-4</v>
      </c>
      <c r="AD17" s="1">
        <v>29</v>
      </c>
      <c r="AE17" s="1">
        <v>5</v>
      </c>
      <c r="AF17" s="1">
        <v>3.1605400000000001</v>
      </c>
      <c r="AG17" s="3">
        <v>3.4722222222222222E-5</v>
      </c>
      <c r="AH17" s="1">
        <v>5</v>
      </c>
      <c r="AI17" s="1">
        <v>0</v>
      </c>
      <c r="AJ17" s="1">
        <v>0</v>
      </c>
      <c r="AK17" s="3">
        <v>0</v>
      </c>
      <c r="AL17" s="1">
        <v>0</v>
      </c>
      <c r="AM17" s="1">
        <v>4.6039599999999998</v>
      </c>
      <c r="AN17" s="1">
        <v>-4.3796400000000002</v>
      </c>
      <c r="AO17" s="1">
        <v>62.248469999999998</v>
      </c>
      <c r="AP17" s="1">
        <v>6</v>
      </c>
      <c r="AQ17" s="1">
        <v>16.229220000000002</v>
      </c>
      <c r="AR17" s="1">
        <v>1</v>
      </c>
      <c r="AS17" s="1">
        <v>3.9260700000000002</v>
      </c>
      <c r="AT17" s="1">
        <v>3.9260700000000002</v>
      </c>
      <c r="AU17" s="1">
        <v>1</v>
      </c>
      <c r="AV17" s="1">
        <v>0</v>
      </c>
      <c r="AW17" s="1">
        <v>0</v>
      </c>
      <c r="AX17" s="1">
        <v>0</v>
      </c>
      <c r="AY17" s="1">
        <v>2444.8868900000002</v>
      </c>
      <c r="AZ17" s="1">
        <v>92</v>
      </c>
      <c r="BA17" s="1">
        <v>92</v>
      </c>
      <c r="BB17" s="1">
        <v>12</v>
      </c>
      <c r="BC17" s="1">
        <v>12</v>
      </c>
      <c r="BD17" s="1">
        <v>7</v>
      </c>
      <c r="BE17" s="1">
        <v>5</v>
      </c>
      <c r="BF17" s="1">
        <v>82.403760000000005</v>
      </c>
      <c r="BG17" s="1">
        <v>20.155290000000001</v>
      </c>
      <c r="BH17" s="1">
        <v>3.9260700000000002</v>
      </c>
      <c r="BI17" s="1">
        <v>0</v>
      </c>
      <c r="BJ17" s="1">
        <v>8</v>
      </c>
      <c r="BK17" s="1">
        <v>0</v>
      </c>
      <c r="BL17" s="1">
        <v>154.11873</v>
      </c>
      <c r="BM17" s="1">
        <v>0</v>
      </c>
      <c r="BN17" s="3">
        <v>0.1030787037037037</v>
      </c>
      <c r="BO17" s="1" t="s">
        <v>130</v>
      </c>
      <c r="BP17" s="1" t="s">
        <v>130</v>
      </c>
      <c r="BQ17" s="1" t="s">
        <v>130</v>
      </c>
      <c r="BR17" s="1">
        <v>12.691549999999999</v>
      </c>
      <c r="BS17" s="1">
        <v>180</v>
      </c>
      <c r="BT17" s="1">
        <v>9.8316599999999994</v>
      </c>
      <c r="BU17" s="1">
        <v>40</v>
      </c>
      <c r="BV17" s="1">
        <v>10.44717</v>
      </c>
      <c r="BW17" s="1">
        <v>32.609389999999998</v>
      </c>
      <c r="BX17" s="1">
        <v>3.11877</v>
      </c>
      <c r="BY17" s="1">
        <v>19</v>
      </c>
      <c r="BZ17" s="1">
        <v>12.919589999999999</v>
      </c>
      <c r="CA17" s="1">
        <v>28.468959999999999</v>
      </c>
      <c r="CB17" s="1">
        <v>3.7400699999999998</v>
      </c>
      <c r="CC17" s="1">
        <v>6</v>
      </c>
      <c r="CD17" s="1">
        <v>19.488199999999999</v>
      </c>
      <c r="CE17" s="1">
        <v>19.488199999999999</v>
      </c>
      <c r="CF17" s="1">
        <v>19.488199999999999</v>
      </c>
      <c r="CG17" s="1">
        <v>1</v>
      </c>
      <c r="CH17" s="1">
        <v>3.2622499999999999</v>
      </c>
      <c r="CI17" s="1">
        <v>3.2622499999999999</v>
      </c>
      <c r="CJ17" s="1">
        <v>3.2622499999999999</v>
      </c>
      <c r="CK17" s="1">
        <v>1</v>
      </c>
      <c r="CL17" s="1" t="s">
        <v>130</v>
      </c>
      <c r="CM17" s="1" t="s">
        <v>130</v>
      </c>
      <c r="CN17" s="1" t="s">
        <v>130</v>
      </c>
      <c r="CO17" s="1">
        <v>0</v>
      </c>
      <c r="CP17" s="1">
        <v>13.18202</v>
      </c>
      <c r="CQ17" s="1">
        <v>163</v>
      </c>
      <c r="CR17" s="1">
        <v>10.57794</v>
      </c>
      <c r="CS17" s="1">
        <v>31</v>
      </c>
      <c r="CT17" s="1">
        <v>9.5768799999999992</v>
      </c>
      <c r="CU17" s="1">
        <v>31.66666</v>
      </c>
      <c r="CV17" s="1">
        <v>2.05159</v>
      </c>
      <c r="CW17" s="1">
        <v>16</v>
      </c>
      <c r="CX17" s="1">
        <v>12.075710000000001</v>
      </c>
      <c r="CY17" s="1">
        <v>26.631689999999999</v>
      </c>
      <c r="CZ17" s="1">
        <v>6.0302300000000004</v>
      </c>
      <c r="DA17" s="1">
        <v>5</v>
      </c>
      <c r="DB17" s="1">
        <v>5.6222599999999998</v>
      </c>
      <c r="DC17" s="1">
        <v>5.6222599999999998</v>
      </c>
      <c r="DD17" s="1">
        <v>5.6222599999999998</v>
      </c>
      <c r="DE17" s="1">
        <v>1</v>
      </c>
      <c r="DF17" s="1" t="s">
        <v>130</v>
      </c>
      <c r="DG17" s="1" t="s">
        <v>130</v>
      </c>
      <c r="DH17" s="1" t="s">
        <v>130</v>
      </c>
      <c r="DI17" s="1">
        <v>0</v>
      </c>
      <c r="DJ17" s="1" t="s">
        <v>130</v>
      </c>
      <c r="DK17" s="1" t="s">
        <v>130</v>
      </c>
      <c r="DL17" s="1" t="s">
        <v>130</v>
      </c>
      <c r="DM17" s="1">
        <v>0</v>
      </c>
      <c r="DN17" s="1">
        <v>3.9260700000000002</v>
      </c>
      <c r="DO17" s="1">
        <v>20.96942</v>
      </c>
      <c r="DP17" s="1">
        <v>4.0564799999999996</v>
      </c>
      <c r="DQ17" s="1">
        <v>36.898510000000002</v>
      </c>
      <c r="DR17" s="1">
        <v>12</v>
      </c>
      <c r="DS17" s="1">
        <v>2.4864299999999999</v>
      </c>
      <c r="DT17" s="1">
        <v>1.7411399999999999</v>
      </c>
      <c r="DU17" s="1">
        <v>2430.61024</v>
      </c>
      <c r="DV17" s="1">
        <v>136.66</v>
      </c>
      <c r="DW17" s="1">
        <v>92</v>
      </c>
      <c r="DX17" s="1">
        <v>0</v>
      </c>
      <c r="DY17" s="3">
        <v>0.1030787037037037</v>
      </c>
      <c r="DZ17" t="str">
        <f>IF(GPS_Table[[#This Row],[Max Vel (% Max)]] &gt;= 90, "YES", "NO")</f>
        <v>NO</v>
      </c>
    </row>
    <row r="18" spans="1:140" ht="14.25" customHeight="1" x14ac:dyDescent="0.2">
      <c r="A18" s="1" t="s">
        <v>159</v>
      </c>
      <c r="B18" s="1" t="s">
        <v>132</v>
      </c>
      <c r="C18" s="1" t="s">
        <v>129</v>
      </c>
      <c r="D18" s="1">
        <v>19.8</v>
      </c>
      <c r="E18" s="1">
        <v>17.640509999999999</v>
      </c>
      <c r="F18" s="1">
        <v>89.093509999999995</v>
      </c>
      <c r="G18" s="1">
        <v>0.25539000000000001</v>
      </c>
      <c r="H18" s="1">
        <v>310.97737999999998</v>
      </c>
      <c r="I18" s="1">
        <v>5286.6154100000003</v>
      </c>
      <c r="J18" s="3">
        <v>6.053240740740741E-3</v>
      </c>
      <c r="K18" s="3">
        <v>0.1030787037037037</v>
      </c>
      <c r="L18" s="1">
        <v>492.18637000000001</v>
      </c>
      <c r="M18" s="1">
        <v>28.95214</v>
      </c>
      <c r="N18" s="1">
        <v>7.6225899999999998</v>
      </c>
      <c r="O18" s="1">
        <v>3.3155199999999998</v>
      </c>
      <c r="P18" s="1">
        <v>492.18637000000001</v>
      </c>
      <c r="Q18" s="1">
        <v>2274.72318</v>
      </c>
      <c r="R18" s="3">
        <v>7.5231481481481482E-4</v>
      </c>
      <c r="S18" s="1">
        <v>252.84339</v>
      </c>
      <c r="T18" s="1">
        <v>43</v>
      </c>
      <c r="U18" s="1">
        <v>11</v>
      </c>
      <c r="V18" s="3">
        <v>8.1018518518518516E-5</v>
      </c>
      <c r="W18" s="1">
        <v>39.424759999999999</v>
      </c>
      <c r="X18" s="1">
        <v>0</v>
      </c>
      <c r="Y18" s="1">
        <v>2.5371800000000002</v>
      </c>
      <c r="Z18" s="3">
        <v>0</v>
      </c>
      <c r="AA18" s="1">
        <v>25</v>
      </c>
      <c r="AB18" s="1">
        <v>57.469380000000001</v>
      </c>
      <c r="AC18" s="3">
        <v>4.2824074074074075E-4</v>
      </c>
      <c r="AD18" s="1">
        <v>25</v>
      </c>
      <c r="AE18" s="1">
        <v>2</v>
      </c>
      <c r="AF18" s="1">
        <v>3.8932600000000002</v>
      </c>
      <c r="AG18" s="3">
        <v>2.3148148148148147E-5</v>
      </c>
      <c r="AH18" s="1">
        <v>2</v>
      </c>
      <c r="AI18" s="1">
        <v>0</v>
      </c>
      <c r="AJ18" s="1">
        <v>5.4679999999999999E-2</v>
      </c>
      <c r="AK18" s="3">
        <v>0</v>
      </c>
      <c r="AL18" s="1">
        <v>0</v>
      </c>
      <c r="AM18" s="1">
        <v>4.1925600000000003</v>
      </c>
      <c r="AN18" s="1">
        <v>-3.5447299999999999</v>
      </c>
      <c r="AO18" s="1">
        <v>132.40376000000001</v>
      </c>
      <c r="AP18" s="1">
        <v>12</v>
      </c>
      <c r="AQ18" s="1">
        <v>56.222659999999998</v>
      </c>
      <c r="AR18" s="1">
        <v>5</v>
      </c>
      <c r="AS18" s="1">
        <v>19.389759999999999</v>
      </c>
      <c r="AT18" s="1">
        <v>19.389759999999999</v>
      </c>
      <c r="AU18" s="1">
        <v>2</v>
      </c>
      <c r="AV18" s="1">
        <v>0</v>
      </c>
      <c r="AW18" s="1">
        <v>0</v>
      </c>
      <c r="AX18" s="1">
        <v>0</v>
      </c>
      <c r="AY18" s="1">
        <v>2935.9264600000001</v>
      </c>
      <c r="AZ18" s="1">
        <v>81</v>
      </c>
      <c r="BA18" s="1">
        <v>81</v>
      </c>
      <c r="BB18" s="1">
        <v>13</v>
      </c>
      <c r="BC18" s="1">
        <v>13</v>
      </c>
      <c r="BD18" s="1">
        <v>11</v>
      </c>
      <c r="BE18" s="1">
        <v>2</v>
      </c>
      <c r="BF18" s="1">
        <v>208.01617999999999</v>
      </c>
      <c r="BG18" s="1">
        <v>75.61242</v>
      </c>
      <c r="BH18" s="1">
        <v>19.389759999999999</v>
      </c>
      <c r="BI18" s="1">
        <v>0</v>
      </c>
      <c r="BJ18" s="1">
        <v>19</v>
      </c>
      <c r="BK18" s="1">
        <v>0</v>
      </c>
      <c r="BL18" s="1">
        <v>177.01866000000001</v>
      </c>
      <c r="BM18" s="1">
        <v>0</v>
      </c>
      <c r="BN18" s="3">
        <v>0.1030787037037037</v>
      </c>
      <c r="BO18" s="1" t="s">
        <v>130</v>
      </c>
      <c r="BP18" s="1" t="s">
        <v>130</v>
      </c>
      <c r="BQ18" s="1" t="s">
        <v>130</v>
      </c>
      <c r="BR18" s="1">
        <v>11.201140000000001</v>
      </c>
      <c r="BS18" s="1">
        <v>227</v>
      </c>
      <c r="BT18" s="1">
        <v>12.157590000000001</v>
      </c>
      <c r="BU18" s="1">
        <v>46</v>
      </c>
      <c r="BV18" s="1">
        <v>15.081709999999999</v>
      </c>
      <c r="BW18" s="1">
        <v>36.10886</v>
      </c>
      <c r="BX18" s="1">
        <v>0</v>
      </c>
      <c r="BY18" s="1">
        <v>20</v>
      </c>
      <c r="BZ18" s="1">
        <v>16.481850000000001</v>
      </c>
      <c r="CA18" s="1">
        <v>31.92371</v>
      </c>
      <c r="CB18" s="1">
        <v>0</v>
      </c>
      <c r="CC18" s="1">
        <v>12</v>
      </c>
      <c r="CD18" s="1">
        <v>13.18942</v>
      </c>
      <c r="CE18" s="1">
        <v>19.432459999999999</v>
      </c>
      <c r="CF18" s="1">
        <v>3.66798</v>
      </c>
      <c r="CG18" s="1">
        <v>5</v>
      </c>
      <c r="CH18" s="1">
        <v>10.1531</v>
      </c>
      <c r="CI18" s="1">
        <v>13.267670000000001</v>
      </c>
      <c r="CJ18" s="1">
        <v>7.0385299999999997</v>
      </c>
      <c r="CK18" s="1">
        <v>2</v>
      </c>
      <c r="CL18" s="1" t="s">
        <v>130</v>
      </c>
      <c r="CM18" s="1" t="s">
        <v>130</v>
      </c>
      <c r="CN18" s="1" t="s">
        <v>130</v>
      </c>
      <c r="CO18" s="1">
        <v>0</v>
      </c>
      <c r="CP18" s="1">
        <v>11.232620000000001</v>
      </c>
      <c r="CQ18" s="1">
        <v>233</v>
      </c>
      <c r="CR18" s="1">
        <v>11.541880000000001</v>
      </c>
      <c r="CS18" s="1">
        <v>54</v>
      </c>
      <c r="CT18" s="1">
        <v>15.68661</v>
      </c>
      <c r="CU18" s="1">
        <v>37.304200000000002</v>
      </c>
      <c r="CV18" s="1">
        <v>1.99379</v>
      </c>
      <c r="CW18" s="1">
        <v>21</v>
      </c>
      <c r="CX18" s="1">
        <v>14.870990000000001</v>
      </c>
      <c r="CY18" s="1">
        <v>33.040280000000003</v>
      </c>
      <c r="CZ18" s="1">
        <v>0</v>
      </c>
      <c r="DA18" s="1">
        <v>15</v>
      </c>
      <c r="DB18" s="1">
        <v>16.139849999999999</v>
      </c>
      <c r="DC18" s="1">
        <v>21.53866</v>
      </c>
      <c r="DD18" s="1">
        <v>7.6410799999999997</v>
      </c>
      <c r="DE18" s="1">
        <v>6</v>
      </c>
      <c r="DF18" s="1">
        <v>10.408609999999999</v>
      </c>
      <c r="DG18" s="1">
        <v>15.683579999999999</v>
      </c>
      <c r="DH18" s="1">
        <v>3.7664</v>
      </c>
      <c r="DI18" s="1">
        <v>3</v>
      </c>
      <c r="DJ18" s="1">
        <v>7.4355599999999997</v>
      </c>
      <c r="DK18" s="1">
        <v>7.4355599999999997</v>
      </c>
      <c r="DL18" s="1">
        <v>7.4355599999999997</v>
      </c>
      <c r="DM18" s="1">
        <v>1</v>
      </c>
      <c r="DN18" s="1">
        <v>19.389759999999999</v>
      </c>
      <c r="DO18" s="1">
        <v>34.477609999999999</v>
      </c>
      <c r="DP18" s="1">
        <v>4.3028000000000004</v>
      </c>
      <c r="DQ18" s="1">
        <v>45.909880000000001</v>
      </c>
      <c r="DR18" s="1">
        <v>13</v>
      </c>
      <c r="DS18" s="1">
        <v>2.7428599999999999</v>
      </c>
      <c r="DT18" s="1">
        <v>3.9347699999999999</v>
      </c>
      <c r="DU18" s="1">
        <v>2928.0511700000002</v>
      </c>
      <c r="DV18" s="1">
        <v>135.01499999999999</v>
      </c>
      <c r="DW18" s="1">
        <v>81</v>
      </c>
      <c r="DX18" s="1">
        <v>0</v>
      </c>
      <c r="DY18" s="3">
        <v>0.1030787037037037</v>
      </c>
      <c r="DZ18" t="str">
        <f>IF(GPS_Table[[#This Row],[Max Vel (% Max)]] &gt;= 90, "YES", "NO")</f>
        <v>NO</v>
      </c>
    </row>
    <row r="19" spans="1:140" ht="14.25" customHeight="1" x14ac:dyDescent="0.2">
      <c r="A19" s="1" t="s">
        <v>160</v>
      </c>
      <c r="B19" s="1" t="s">
        <v>132</v>
      </c>
      <c r="C19" s="1" t="s">
        <v>129</v>
      </c>
      <c r="D19" s="1">
        <v>19.5</v>
      </c>
      <c r="E19" s="1">
        <v>17.546099999999999</v>
      </c>
      <c r="F19" s="1">
        <v>89.980009999999993</v>
      </c>
      <c r="G19" s="1">
        <v>0.20544999999999999</v>
      </c>
      <c r="H19" s="1">
        <v>281.10397999999998</v>
      </c>
      <c r="I19" s="1">
        <v>4778.7677000000003</v>
      </c>
      <c r="J19" s="3">
        <v>6.053240740740741E-3</v>
      </c>
      <c r="K19" s="3">
        <v>0.1030787037037037</v>
      </c>
      <c r="L19" s="1">
        <v>438.9008</v>
      </c>
      <c r="M19" s="1">
        <v>25.817689999999999</v>
      </c>
      <c r="N19" s="1">
        <v>6.7717999999999998</v>
      </c>
      <c r="O19" s="1">
        <v>2.9565800000000002</v>
      </c>
      <c r="P19" s="1">
        <v>438.9008</v>
      </c>
      <c r="Q19" s="1">
        <v>1829.88816</v>
      </c>
      <c r="R19" s="3">
        <v>7.291666666666667E-4</v>
      </c>
      <c r="S19" s="1">
        <v>241.61198999999999</v>
      </c>
      <c r="T19" s="1">
        <v>49</v>
      </c>
      <c r="U19" s="1">
        <v>5</v>
      </c>
      <c r="V19" s="3">
        <v>5.7870370370370373E-5</v>
      </c>
      <c r="W19" s="1">
        <v>22.440950000000001</v>
      </c>
      <c r="X19" s="1">
        <v>0</v>
      </c>
      <c r="Y19" s="1">
        <v>0</v>
      </c>
      <c r="Z19" s="3">
        <v>0</v>
      </c>
      <c r="AA19" s="1">
        <v>28</v>
      </c>
      <c r="AB19" s="1">
        <v>47.440950000000001</v>
      </c>
      <c r="AC19" s="3">
        <v>3.3564814814814812E-4</v>
      </c>
      <c r="AD19" s="1">
        <v>28</v>
      </c>
      <c r="AE19" s="1">
        <v>2</v>
      </c>
      <c r="AF19" s="1">
        <v>2.7449699999999999</v>
      </c>
      <c r="AG19" s="3">
        <v>1.1574074074074073E-5</v>
      </c>
      <c r="AH19" s="1">
        <v>2</v>
      </c>
      <c r="AI19" s="1">
        <v>0</v>
      </c>
      <c r="AJ19" s="1">
        <v>0</v>
      </c>
      <c r="AK19" s="3">
        <v>0</v>
      </c>
      <c r="AL19" s="1">
        <v>0</v>
      </c>
      <c r="AM19" s="1">
        <v>4.1025799999999997</v>
      </c>
      <c r="AN19" s="1">
        <v>-4.3098400000000003</v>
      </c>
      <c r="AO19" s="1">
        <v>86.657920000000004</v>
      </c>
      <c r="AP19" s="1">
        <v>9</v>
      </c>
      <c r="AQ19" s="1">
        <v>30.960190000000001</v>
      </c>
      <c r="AR19" s="1">
        <v>4</v>
      </c>
      <c r="AS19" s="1">
        <v>27.18722</v>
      </c>
      <c r="AT19" s="1">
        <v>24.73753</v>
      </c>
      <c r="AU19" s="1">
        <v>2</v>
      </c>
      <c r="AV19" s="1">
        <v>0</v>
      </c>
      <c r="AW19" s="1">
        <v>2.4496899999999999</v>
      </c>
      <c r="AX19" s="1">
        <v>0</v>
      </c>
      <c r="AY19" s="1">
        <v>2937.9540499999998</v>
      </c>
      <c r="AZ19" s="1">
        <v>84</v>
      </c>
      <c r="BA19" s="1">
        <v>84</v>
      </c>
      <c r="BB19" s="1">
        <v>7</v>
      </c>
      <c r="BC19" s="1">
        <v>7</v>
      </c>
      <c r="BD19" s="1">
        <v>5</v>
      </c>
      <c r="BE19" s="1">
        <v>2</v>
      </c>
      <c r="BF19" s="1">
        <v>144.80533</v>
      </c>
      <c r="BG19" s="1">
        <v>58.147410000000001</v>
      </c>
      <c r="BH19" s="1">
        <v>27.18722</v>
      </c>
      <c r="BI19" s="1">
        <v>2.4496899999999999</v>
      </c>
      <c r="BJ19" s="1">
        <v>15</v>
      </c>
      <c r="BK19" s="1">
        <v>0</v>
      </c>
      <c r="BL19" s="1">
        <v>159.31692000000001</v>
      </c>
      <c r="BM19" s="1">
        <v>0</v>
      </c>
      <c r="BN19" s="3">
        <v>0.1030787037037037</v>
      </c>
      <c r="BO19" s="1" t="s">
        <v>130</v>
      </c>
      <c r="BP19" s="1" t="s">
        <v>130</v>
      </c>
      <c r="BQ19" s="1" t="s">
        <v>130</v>
      </c>
      <c r="BR19" s="1">
        <v>12.68755</v>
      </c>
      <c r="BS19" s="1">
        <v>216</v>
      </c>
      <c r="BT19" s="1">
        <v>9.82362</v>
      </c>
      <c r="BU19" s="1">
        <v>52</v>
      </c>
      <c r="BV19" s="1">
        <v>14.89433</v>
      </c>
      <c r="BW19" s="1">
        <v>41.39217</v>
      </c>
      <c r="BX19" s="1">
        <v>1.9718899999999999</v>
      </c>
      <c r="BY19" s="1">
        <v>13</v>
      </c>
      <c r="BZ19" s="1">
        <v>15.87771</v>
      </c>
      <c r="CA19" s="1">
        <v>31.063980000000001</v>
      </c>
      <c r="CB19" s="1">
        <v>3.5354199999999998</v>
      </c>
      <c r="CC19" s="1">
        <v>8</v>
      </c>
      <c r="CD19" s="1">
        <v>12.851279999999999</v>
      </c>
      <c r="CE19" s="1">
        <v>20.597100000000001</v>
      </c>
      <c r="CF19" s="1">
        <v>6.4369899999999998</v>
      </c>
      <c r="CG19" s="1">
        <v>4</v>
      </c>
      <c r="CH19" s="1">
        <v>12.19265</v>
      </c>
      <c r="CI19" s="1">
        <v>13.95331</v>
      </c>
      <c r="CJ19" s="1">
        <v>10.431979999999999</v>
      </c>
      <c r="CK19" s="1">
        <v>2</v>
      </c>
      <c r="CL19" s="1" t="s">
        <v>130</v>
      </c>
      <c r="CM19" s="1">
        <v>0</v>
      </c>
      <c r="CN19" s="1">
        <v>0</v>
      </c>
      <c r="CO19" s="1">
        <v>0</v>
      </c>
      <c r="CP19" s="1">
        <v>12.029489999999999</v>
      </c>
      <c r="CQ19" s="1">
        <v>236</v>
      </c>
      <c r="CR19" s="1">
        <v>10.42956</v>
      </c>
      <c r="CS19" s="1">
        <v>61</v>
      </c>
      <c r="CT19" s="1">
        <v>9.7150800000000004</v>
      </c>
      <c r="CU19" s="1">
        <v>42.650919999999999</v>
      </c>
      <c r="CV19" s="1">
        <v>1.44903</v>
      </c>
      <c r="CW19" s="1">
        <v>26</v>
      </c>
      <c r="CX19" s="1">
        <v>17.472809999999999</v>
      </c>
      <c r="CY19" s="1">
        <v>38.395679999999999</v>
      </c>
      <c r="CZ19" s="1">
        <v>3.55972</v>
      </c>
      <c r="DA19" s="1">
        <v>9</v>
      </c>
      <c r="DB19" s="1">
        <v>13.10163</v>
      </c>
      <c r="DC19" s="1">
        <v>23.987269999999999</v>
      </c>
      <c r="DD19" s="1">
        <v>5.0950699999999998</v>
      </c>
      <c r="DE19" s="1">
        <v>6</v>
      </c>
      <c r="DF19" s="1">
        <v>10.320489999999999</v>
      </c>
      <c r="DG19" s="1">
        <v>17.680440000000001</v>
      </c>
      <c r="DH19" s="1">
        <v>2.8784800000000001</v>
      </c>
      <c r="DI19" s="1">
        <v>4</v>
      </c>
      <c r="DJ19" s="1">
        <v>10.582380000000001</v>
      </c>
      <c r="DK19" s="1">
        <v>11.514709999999999</v>
      </c>
      <c r="DL19" s="1">
        <v>9.6500500000000002</v>
      </c>
      <c r="DM19" s="1">
        <v>2</v>
      </c>
      <c r="DN19" s="1">
        <v>27.18722</v>
      </c>
      <c r="DO19" s="1">
        <v>22.462409999999998</v>
      </c>
      <c r="DP19" s="1">
        <v>3.8292099999999998</v>
      </c>
      <c r="DQ19" s="1">
        <v>25.185919999999999</v>
      </c>
      <c r="DR19" s="1">
        <v>7</v>
      </c>
      <c r="DS19" s="1">
        <v>4.6707599999999996</v>
      </c>
      <c r="DT19" s="1">
        <v>3.0301800000000001</v>
      </c>
      <c r="DU19" s="1">
        <v>2930.0306700000001</v>
      </c>
      <c r="DV19" s="1">
        <v>132.82499999999999</v>
      </c>
      <c r="DW19" s="1">
        <v>84</v>
      </c>
      <c r="DX19" s="1">
        <v>0</v>
      </c>
      <c r="DY19" s="3">
        <v>0.1030787037037037</v>
      </c>
      <c r="DZ19" t="str">
        <f>IF(GPS_Table[[#This Row],[Max Vel (% Max)]] &gt;= 90, "YES", "NO")</f>
        <v>NO</v>
      </c>
    </row>
    <row r="20" spans="1:140" ht="14.25" customHeight="1" x14ac:dyDescent="0.2">
      <c r="A20" s="1" t="s">
        <v>161</v>
      </c>
      <c r="B20" s="1" t="s">
        <v>132</v>
      </c>
      <c r="C20" s="1" t="s">
        <v>129</v>
      </c>
      <c r="D20" s="1">
        <v>19.3</v>
      </c>
      <c r="E20" s="1">
        <v>16.974710000000002</v>
      </c>
      <c r="F20" s="1">
        <v>87.951890000000006</v>
      </c>
      <c r="G20" s="1">
        <v>0.27050000000000002</v>
      </c>
      <c r="H20" s="1">
        <v>335.64559000000003</v>
      </c>
      <c r="I20" s="1">
        <v>5705.9750400000003</v>
      </c>
      <c r="J20" s="3">
        <v>6.053240740740741E-3</v>
      </c>
      <c r="K20" s="3">
        <v>0.1030787037037037</v>
      </c>
      <c r="L20" s="1">
        <v>459.83111000000002</v>
      </c>
      <c r="M20" s="1">
        <v>27.04889</v>
      </c>
      <c r="N20" s="1">
        <v>6.6816899999999997</v>
      </c>
      <c r="O20" s="1">
        <v>3.0975700000000002</v>
      </c>
      <c r="P20" s="1">
        <v>459.83111000000002</v>
      </c>
      <c r="Q20" s="1">
        <v>2409.3398099999999</v>
      </c>
      <c r="R20" s="3">
        <v>7.9861111111111116E-4</v>
      </c>
      <c r="S20" s="1">
        <v>269.90375999999998</v>
      </c>
      <c r="T20" s="1">
        <v>53</v>
      </c>
      <c r="U20" s="1">
        <v>8</v>
      </c>
      <c r="V20" s="3">
        <v>8.1018518518518516E-5</v>
      </c>
      <c r="W20" s="1">
        <v>37.434379999999997</v>
      </c>
      <c r="X20" s="1">
        <v>1</v>
      </c>
      <c r="Y20" s="1">
        <v>0.41556999999999999</v>
      </c>
      <c r="Z20" s="3">
        <v>0</v>
      </c>
      <c r="AA20" s="1">
        <v>36</v>
      </c>
      <c r="AB20" s="1">
        <v>72.058179999999993</v>
      </c>
      <c r="AC20" s="3">
        <v>6.2500000000000001E-4</v>
      </c>
      <c r="AD20" s="1">
        <v>36</v>
      </c>
      <c r="AE20" s="1">
        <v>8</v>
      </c>
      <c r="AF20" s="1">
        <v>10.78303</v>
      </c>
      <c r="AG20" s="3">
        <v>9.2592592592592588E-5</v>
      </c>
      <c r="AH20" s="1">
        <v>8</v>
      </c>
      <c r="AI20" s="1">
        <v>1</v>
      </c>
      <c r="AJ20" s="1">
        <v>0.48119000000000001</v>
      </c>
      <c r="AK20" s="3">
        <v>0</v>
      </c>
      <c r="AL20" s="1">
        <v>1</v>
      </c>
      <c r="AM20" s="1">
        <v>5.0874800000000002</v>
      </c>
      <c r="AN20" s="1">
        <v>-5.1224100000000004</v>
      </c>
      <c r="AO20" s="1">
        <v>114.70910000000001</v>
      </c>
      <c r="AP20" s="1">
        <v>13</v>
      </c>
      <c r="AQ20" s="1">
        <v>44.499119999999998</v>
      </c>
      <c r="AR20" s="1">
        <v>4</v>
      </c>
      <c r="AS20" s="1">
        <v>42.443129999999996</v>
      </c>
      <c r="AT20" s="1">
        <v>42.443129999999996</v>
      </c>
      <c r="AU20" s="1">
        <v>5</v>
      </c>
      <c r="AV20" s="1">
        <v>0</v>
      </c>
      <c r="AW20" s="1">
        <v>0</v>
      </c>
      <c r="AX20" s="1">
        <v>0</v>
      </c>
      <c r="AY20" s="1">
        <v>2959.2339999999999</v>
      </c>
      <c r="AZ20" s="1">
        <v>107</v>
      </c>
      <c r="BA20" s="1">
        <v>107</v>
      </c>
      <c r="BB20" s="1">
        <v>18</v>
      </c>
      <c r="BC20" s="1">
        <v>18</v>
      </c>
      <c r="BD20" s="1">
        <v>9</v>
      </c>
      <c r="BE20" s="1">
        <v>9</v>
      </c>
      <c r="BF20" s="1">
        <v>201.65135000000001</v>
      </c>
      <c r="BG20" s="1">
        <v>86.942250000000001</v>
      </c>
      <c r="BH20" s="1">
        <v>42.443129999999996</v>
      </c>
      <c r="BI20" s="1">
        <v>0</v>
      </c>
      <c r="BJ20" s="1">
        <v>22</v>
      </c>
      <c r="BK20" s="1">
        <v>0</v>
      </c>
      <c r="BL20" s="1">
        <v>193.74286000000001</v>
      </c>
      <c r="BM20" s="1">
        <v>0</v>
      </c>
      <c r="BN20" s="3">
        <v>0.1030787037037037</v>
      </c>
      <c r="BO20" s="1" t="s">
        <v>130</v>
      </c>
      <c r="BP20" s="1" t="s">
        <v>130</v>
      </c>
      <c r="BQ20" s="1" t="s">
        <v>130</v>
      </c>
      <c r="BR20" s="1">
        <v>10.55841</v>
      </c>
      <c r="BS20" s="1">
        <v>256</v>
      </c>
      <c r="BT20" s="1">
        <v>10.079610000000001</v>
      </c>
      <c r="BU20" s="1">
        <v>63</v>
      </c>
      <c r="BV20" s="1">
        <v>12.36651</v>
      </c>
      <c r="BW20" s="1">
        <v>37.642180000000003</v>
      </c>
      <c r="BX20" s="1">
        <v>1.68421</v>
      </c>
      <c r="BY20" s="1">
        <v>27</v>
      </c>
      <c r="BZ20" s="1">
        <v>13.521520000000001</v>
      </c>
      <c r="CA20" s="1">
        <v>34.03434</v>
      </c>
      <c r="CB20" s="1">
        <v>0</v>
      </c>
      <c r="CC20" s="1">
        <v>14</v>
      </c>
      <c r="CD20" s="1">
        <v>16.611170000000001</v>
      </c>
      <c r="CE20" s="1">
        <v>25.22636</v>
      </c>
      <c r="CF20" s="1">
        <v>0</v>
      </c>
      <c r="CG20" s="1">
        <v>5</v>
      </c>
      <c r="CH20" s="1">
        <v>7.5815400000000004</v>
      </c>
      <c r="CI20" s="1">
        <v>12.647640000000001</v>
      </c>
      <c r="CJ20" s="1">
        <v>4.7670700000000004</v>
      </c>
      <c r="CK20" s="1">
        <v>5</v>
      </c>
      <c r="CL20" s="1" t="s">
        <v>130</v>
      </c>
      <c r="CM20" s="1" t="s">
        <v>130</v>
      </c>
      <c r="CN20" s="1" t="s">
        <v>130</v>
      </c>
      <c r="CO20" s="1">
        <v>0</v>
      </c>
      <c r="CP20" s="1">
        <v>10.49602</v>
      </c>
      <c r="CQ20" s="1">
        <v>259</v>
      </c>
      <c r="CR20" s="1">
        <v>10.08034</v>
      </c>
      <c r="CS20" s="1">
        <v>64</v>
      </c>
      <c r="CT20" s="1">
        <v>12.75916</v>
      </c>
      <c r="CU20" s="1">
        <v>38.772979999999997</v>
      </c>
      <c r="CV20" s="1">
        <v>1.68421</v>
      </c>
      <c r="CW20" s="1">
        <v>27</v>
      </c>
      <c r="CX20" s="1">
        <v>13.0517</v>
      </c>
      <c r="CY20" s="1">
        <v>34.03434</v>
      </c>
      <c r="CZ20" s="1">
        <v>0</v>
      </c>
      <c r="DA20" s="1">
        <v>15</v>
      </c>
      <c r="DB20" s="1">
        <v>14.735189999999999</v>
      </c>
      <c r="DC20" s="1">
        <v>25.831140000000001</v>
      </c>
      <c r="DD20" s="1">
        <v>2.5459299999999998</v>
      </c>
      <c r="DE20" s="1">
        <v>6</v>
      </c>
      <c r="DF20" s="1">
        <v>7.8903600000000003</v>
      </c>
      <c r="DG20" s="1">
        <v>13.43831</v>
      </c>
      <c r="DH20" s="1">
        <v>4.7670700000000004</v>
      </c>
      <c r="DI20" s="1">
        <v>5</v>
      </c>
      <c r="DJ20" s="1" t="s">
        <v>130</v>
      </c>
      <c r="DK20" s="1" t="s">
        <v>130</v>
      </c>
      <c r="DL20" s="1" t="s">
        <v>130</v>
      </c>
      <c r="DM20" s="1">
        <v>0</v>
      </c>
      <c r="DN20" s="1">
        <v>42.443129999999996</v>
      </c>
      <c r="DO20" s="1">
        <v>39.77319</v>
      </c>
      <c r="DP20" s="1">
        <v>4.2224899999999996</v>
      </c>
      <c r="DQ20" s="1">
        <v>49.114170000000001</v>
      </c>
      <c r="DR20" s="1">
        <v>18</v>
      </c>
      <c r="DS20" s="1">
        <v>4.2406899999999998</v>
      </c>
      <c r="DT20" s="1">
        <v>3.5340400000000001</v>
      </c>
      <c r="DU20" s="1">
        <v>2950.9077000000002</v>
      </c>
      <c r="DV20" s="1">
        <v>134.47667000000001</v>
      </c>
      <c r="DW20" s="1">
        <v>107</v>
      </c>
      <c r="DX20" s="1">
        <v>1</v>
      </c>
      <c r="DY20" s="3">
        <v>0.1030787037037037</v>
      </c>
      <c r="DZ20" t="str">
        <f>IF(GPS_Table[[#This Row],[Max Vel (% Max)]] &gt;= 90, "YES", "NO")</f>
        <v>NO</v>
      </c>
    </row>
    <row r="21" spans="1:140" ht="14.25" customHeight="1" x14ac:dyDescent="0.2">
      <c r="A21" s="1" t="s">
        <v>162</v>
      </c>
      <c r="B21" s="1" t="s">
        <v>132</v>
      </c>
      <c r="C21" s="1" t="s">
        <v>129</v>
      </c>
      <c r="D21" s="1">
        <v>20.2</v>
      </c>
      <c r="E21" s="1">
        <v>17.783760000000001</v>
      </c>
      <c r="F21" s="1">
        <v>88.038390000000007</v>
      </c>
      <c r="G21" s="1">
        <v>0.29093000000000002</v>
      </c>
      <c r="H21" s="1">
        <v>359.80869999999999</v>
      </c>
      <c r="I21" s="1">
        <v>6116.7479599999997</v>
      </c>
      <c r="J21" s="3">
        <v>6.053240740740741E-3</v>
      </c>
      <c r="K21" s="3">
        <v>0.1030787037037037</v>
      </c>
      <c r="L21" s="1">
        <v>444.86869000000002</v>
      </c>
      <c r="M21" s="1">
        <v>26.168749999999999</v>
      </c>
      <c r="N21" s="1">
        <v>7.07524</v>
      </c>
      <c r="O21" s="1">
        <v>2.9967800000000002</v>
      </c>
      <c r="P21" s="1">
        <v>444.86869000000002</v>
      </c>
      <c r="Q21" s="1">
        <v>2591.3089399999999</v>
      </c>
      <c r="R21" s="3">
        <v>1.0995370370370371E-3</v>
      </c>
      <c r="S21" s="1">
        <v>363.57173999999998</v>
      </c>
      <c r="T21" s="1">
        <v>61</v>
      </c>
      <c r="U21" s="1">
        <v>10</v>
      </c>
      <c r="V21" s="3">
        <v>1.1574074074074075E-4</v>
      </c>
      <c r="W21" s="1">
        <v>53.587049999999998</v>
      </c>
      <c r="X21" s="1">
        <v>0</v>
      </c>
      <c r="Y21" s="1">
        <v>4.3744500000000004</v>
      </c>
      <c r="Z21" s="3">
        <v>1.1574074074074073E-5</v>
      </c>
      <c r="AA21" s="1">
        <v>43</v>
      </c>
      <c r="AB21" s="1">
        <v>67.738410000000002</v>
      </c>
      <c r="AC21" s="3">
        <v>6.5972222222222224E-4</v>
      </c>
      <c r="AD21" s="1">
        <v>43</v>
      </c>
      <c r="AE21" s="1">
        <v>6</v>
      </c>
      <c r="AF21" s="1">
        <v>8.9894999999999996</v>
      </c>
      <c r="AG21" s="3">
        <v>8.1018518518518516E-5</v>
      </c>
      <c r="AH21" s="1">
        <v>6</v>
      </c>
      <c r="AI21" s="1">
        <v>0</v>
      </c>
      <c r="AJ21" s="1">
        <v>0.14216999999999999</v>
      </c>
      <c r="AK21" s="3">
        <v>0</v>
      </c>
      <c r="AL21" s="1">
        <v>0</v>
      </c>
      <c r="AM21" s="1">
        <v>4.2043900000000001</v>
      </c>
      <c r="AN21" s="1">
        <v>-4.4944899999999999</v>
      </c>
      <c r="AO21" s="1">
        <v>133.01618999999999</v>
      </c>
      <c r="AP21" s="1">
        <v>14</v>
      </c>
      <c r="AQ21" s="1">
        <v>15.57305</v>
      </c>
      <c r="AR21" s="1">
        <v>2</v>
      </c>
      <c r="AS21" s="1">
        <v>13.91076</v>
      </c>
      <c r="AT21" s="1">
        <v>13.91076</v>
      </c>
      <c r="AU21" s="1">
        <v>1</v>
      </c>
      <c r="AV21" s="1">
        <v>0</v>
      </c>
      <c r="AW21" s="1">
        <v>0</v>
      </c>
      <c r="AX21" s="1">
        <v>0</v>
      </c>
      <c r="AY21" s="1">
        <v>3259.14734</v>
      </c>
      <c r="AZ21" s="1">
        <v>120</v>
      </c>
      <c r="BA21" s="1">
        <v>120</v>
      </c>
      <c r="BB21" s="1">
        <v>16</v>
      </c>
      <c r="BC21" s="1">
        <v>16</v>
      </c>
      <c r="BD21" s="1">
        <v>10</v>
      </c>
      <c r="BE21" s="1">
        <v>6</v>
      </c>
      <c r="BF21" s="1">
        <v>162.5</v>
      </c>
      <c r="BG21" s="1">
        <v>29.483809999999998</v>
      </c>
      <c r="BH21" s="1">
        <v>13.91076</v>
      </c>
      <c r="BI21" s="1">
        <v>0</v>
      </c>
      <c r="BJ21" s="1">
        <v>17</v>
      </c>
      <c r="BK21" s="1">
        <v>0</v>
      </c>
      <c r="BL21" s="1">
        <v>199.34285</v>
      </c>
      <c r="BM21" s="1">
        <v>0</v>
      </c>
      <c r="BN21" s="3">
        <v>0.1030787037037037</v>
      </c>
      <c r="BO21" s="1" t="s">
        <v>130</v>
      </c>
      <c r="BP21" s="1" t="s">
        <v>130</v>
      </c>
      <c r="BQ21" s="1" t="s">
        <v>130</v>
      </c>
      <c r="BR21" s="1">
        <v>10.11816</v>
      </c>
      <c r="BS21" s="1">
        <v>298</v>
      </c>
      <c r="BT21" s="1">
        <v>11.550420000000001</v>
      </c>
      <c r="BU21" s="1">
        <v>70</v>
      </c>
      <c r="BV21" s="1">
        <v>12.486230000000001</v>
      </c>
      <c r="BW21" s="1">
        <v>40.543790000000001</v>
      </c>
      <c r="BX21" s="1">
        <v>0</v>
      </c>
      <c r="BY21" s="1">
        <v>26</v>
      </c>
      <c r="BZ21" s="1">
        <v>11.507999999999999</v>
      </c>
      <c r="CA21" s="1">
        <v>33.302869999999999</v>
      </c>
      <c r="CB21" s="1">
        <v>2.16106</v>
      </c>
      <c r="CC21" s="1">
        <v>12</v>
      </c>
      <c r="CD21" s="1">
        <v>13.17662</v>
      </c>
      <c r="CE21" s="1">
        <v>21.926200000000001</v>
      </c>
      <c r="CF21" s="1">
        <v>4.4270500000000004</v>
      </c>
      <c r="CG21" s="1">
        <v>2</v>
      </c>
      <c r="CH21" s="1">
        <v>14.06479</v>
      </c>
      <c r="CI21" s="1">
        <v>14.06479</v>
      </c>
      <c r="CJ21" s="1">
        <v>14.06479</v>
      </c>
      <c r="CK21" s="1">
        <v>1</v>
      </c>
      <c r="CL21" s="1" t="s">
        <v>130</v>
      </c>
      <c r="CM21" s="1" t="s">
        <v>130</v>
      </c>
      <c r="CN21" s="1" t="s">
        <v>130</v>
      </c>
      <c r="CO21" s="1">
        <v>0</v>
      </c>
      <c r="CP21" s="1">
        <v>10.162800000000001</v>
      </c>
      <c r="CQ21" s="1">
        <v>295</v>
      </c>
      <c r="CR21" s="1">
        <v>11.432079999999999</v>
      </c>
      <c r="CS21" s="1">
        <v>71</v>
      </c>
      <c r="CT21" s="1">
        <v>12.506539999999999</v>
      </c>
      <c r="CU21" s="1">
        <v>40.543790000000001</v>
      </c>
      <c r="CV21" s="1">
        <v>0</v>
      </c>
      <c r="CW21" s="1">
        <v>26</v>
      </c>
      <c r="CX21" s="1">
        <v>11.507999999999999</v>
      </c>
      <c r="CY21" s="1">
        <v>33.302869999999999</v>
      </c>
      <c r="CZ21" s="1">
        <v>2.16106</v>
      </c>
      <c r="DA21" s="1">
        <v>12</v>
      </c>
      <c r="DB21" s="1">
        <v>13.17662</v>
      </c>
      <c r="DC21" s="1">
        <v>21.926200000000001</v>
      </c>
      <c r="DD21" s="1">
        <v>4.4270500000000004</v>
      </c>
      <c r="DE21" s="1">
        <v>2</v>
      </c>
      <c r="DF21" s="1">
        <v>14.06479</v>
      </c>
      <c r="DG21" s="1">
        <v>14.06479</v>
      </c>
      <c r="DH21" s="1">
        <v>14.06479</v>
      </c>
      <c r="DI21" s="1">
        <v>1</v>
      </c>
      <c r="DJ21" s="1" t="s">
        <v>130</v>
      </c>
      <c r="DK21" s="1" t="s">
        <v>130</v>
      </c>
      <c r="DL21" s="1" t="s">
        <v>130</v>
      </c>
      <c r="DM21" s="1">
        <v>0</v>
      </c>
      <c r="DN21" s="1">
        <v>13.91076</v>
      </c>
      <c r="DO21" s="1">
        <v>35.304560000000002</v>
      </c>
      <c r="DP21" s="1">
        <v>4.2364199999999999</v>
      </c>
      <c r="DQ21" s="1">
        <v>67.093170000000001</v>
      </c>
      <c r="DR21" s="1">
        <v>16</v>
      </c>
      <c r="DS21" s="1">
        <v>4.6081000000000003</v>
      </c>
      <c r="DT21" s="1">
        <v>2.6566399999999999</v>
      </c>
      <c r="DU21" s="1">
        <v>3249.61724</v>
      </c>
      <c r="DV21" s="1">
        <v>135.29667000000001</v>
      </c>
      <c r="DW21" s="1">
        <v>120</v>
      </c>
      <c r="DX21" s="1">
        <v>0</v>
      </c>
      <c r="DY21" s="3">
        <v>0.1030787037037037</v>
      </c>
      <c r="DZ21" t="str">
        <f>IF(GPS_Table[[#This Row],[Max Vel (% Max)]] &gt;= 90, "YES", "NO")</f>
        <v>NO</v>
      </c>
    </row>
    <row r="22" spans="1:140" ht="14.25" customHeight="1" x14ac:dyDescent="0.2">
      <c r="A22" s="1" t="s">
        <v>163</v>
      </c>
      <c r="B22" s="1" t="s">
        <v>132</v>
      </c>
      <c r="C22" s="1" t="s">
        <v>129</v>
      </c>
      <c r="D22" s="1">
        <v>20</v>
      </c>
      <c r="E22" s="1">
        <v>16.72411</v>
      </c>
      <c r="F22" s="1">
        <v>83.620570000000001</v>
      </c>
      <c r="G22" s="1">
        <v>0.20951</v>
      </c>
      <c r="H22" s="1">
        <v>308.84949999999998</v>
      </c>
      <c r="I22" s="1">
        <v>5250.4415399999998</v>
      </c>
      <c r="J22" s="3">
        <v>6.053240740740741E-3</v>
      </c>
      <c r="K22" s="3">
        <v>0.1030787037037037</v>
      </c>
      <c r="L22" s="1">
        <v>501.23903999999999</v>
      </c>
      <c r="M22" s="1">
        <v>29.484649999999998</v>
      </c>
      <c r="N22" s="1">
        <v>8.9826700000000006</v>
      </c>
      <c r="O22" s="1">
        <v>3.3765100000000001</v>
      </c>
      <c r="P22" s="1">
        <v>501.23903999999999</v>
      </c>
      <c r="Q22" s="1">
        <v>1866.0752399999999</v>
      </c>
      <c r="R22" s="3">
        <v>1.261574074074074E-3</v>
      </c>
      <c r="S22" s="1">
        <v>260.07218</v>
      </c>
      <c r="T22" s="1">
        <v>42</v>
      </c>
      <c r="U22" s="1">
        <v>13</v>
      </c>
      <c r="V22" s="3">
        <v>1.1574074074074075E-4</v>
      </c>
      <c r="W22" s="1">
        <v>57.731850000000001</v>
      </c>
      <c r="X22" s="1">
        <v>0</v>
      </c>
      <c r="Y22" s="1">
        <v>0</v>
      </c>
      <c r="Z22" s="3">
        <v>0</v>
      </c>
      <c r="AA22" s="1">
        <v>32</v>
      </c>
      <c r="AB22" s="1">
        <v>62.576549999999997</v>
      </c>
      <c r="AC22" s="3">
        <v>8.4490740740740739E-4</v>
      </c>
      <c r="AD22" s="1">
        <v>32</v>
      </c>
      <c r="AE22" s="1">
        <v>9</v>
      </c>
      <c r="AF22" s="1">
        <v>8.8910800000000005</v>
      </c>
      <c r="AG22" s="3">
        <v>4.6296296296296294E-5</v>
      </c>
      <c r="AH22" s="1">
        <v>9</v>
      </c>
      <c r="AI22" s="1">
        <v>0</v>
      </c>
      <c r="AJ22" s="1">
        <v>0.34995999999999999</v>
      </c>
      <c r="AK22" s="3">
        <v>0</v>
      </c>
      <c r="AL22" s="1">
        <v>0</v>
      </c>
      <c r="AM22" s="1">
        <v>4.6820300000000001</v>
      </c>
      <c r="AN22" s="1">
        <v>-4.7130599999999996</v>
      </c>
      <c r="AO22" s="1">
        <v>139.80752000000001</v>
      </c>
      <c r="AP22" s="1">
        <v>13</v>
      </c>
      <c r="AQ22" s="1">
        <v>21.75197</v>
      </c>
      <c r="AR22" s="1">
        <v>3</v>
      </c>
      <c r="AS22" s="1">
        <v>3.7839</v>
      </c>
      <c r="AT22" s="1">
        <v>3.7839</v>
      </c>
      <c r="AU22" s="1">
        <v>1</v>
      </c>
      <c r="AV22" s="1">
        <v>0</v>
      </c>
      <c r="AW22" s="1">
        <v>0</v>
      </c>
      <c r="AX22" s="1">
        <v>0</v>
      </c>
      <c r="AY22" s="1">
        <v>3292.7862599999999</v>
      </c>
      <c r="AZ22" s="1">
        <v>96</v>
      </c>
      <c r="BA22" s="1">
        <v>96</v>
      </c>
      <c r="BB22" s="1">
        <v>22</v>
      </c>
      <c r="BC22" s="1">
        <v>22</v>
      </c>
      <c r="BD22" s="1">
        <v>13</v>
      </c>
      <c r="BE22" s="1">
        <v>9</v>
      </c>
      <c r="BF22" s="1">
        <v>165.34339</v>
      </c>
      <c r="BG22" s="1">
        <v>25.535869999999999</v>
      </c>
      <c r="BH22" s="1">
        <v>3.7839</v>
      </c>
      <c r="BI22" s="1">
        <v>0</v>
      </c>
      <c r="BJ22" s="1">
        <v>17</v>
      </c>
      <c r="BK22" s="1">
        <v>0</v>
      </c>
      <c r="BL22" s="1">
        <v>167.82427999999999</v>
      </c>
      <c r="BM22" s="1">
        <v>0</v>
      </c>
      <c r="BN22" s="3">
        <v>0.1030787037037037</v>
      </c>
      <c r="BO22" s="1" t="s">
        <v>130</v>
      </c>
      <c r="BP22" s="1" t="s">
        <v>130</v>
      </c>
      <c r="BQ22" s="1" t="s">
        <v>130</v>
      </c>
      <c r="BR22" s="1">
        <v>13.76939</v>
      </c>
      <c r="BS22" s="1">
        <v>216</v>
      </c>
      <c r="BT22" s="1">
        <v>10.928800000000001</v>
      </c>
      <c r="BU22" s="1">
        <v>59</v>
      </c>
      <c r="BV22" s="1">
        <v>11.51557</v>
      </c>
      <c r="BW22" s="1">
        <v>25.646350000000002</v>
      </c>
      <c r="BX22" s="1">
        <v>0</v>
      </c>
      <c r="BY22" s="1">
        <v>26</v>
      </c>
      <c r="BZ22" s="1">
        <v>12.293380000000001</v>
      </c>
      <c r="CA22" s="1">
        <v>20.87818</v>
      </c>
      <c r="CB22" s="1">
        <v>3.60317</v>
      </c>
      <c r="CC22" s="1">
        <v>13</v>
      </c>
      <c r="CD22" s="1">
        <v>7.4500599999999997</v>
      </c>
      <c r="CE22" s="1">
        <v>8.2907399999999996</v>
      </c>
      <c r="CF22" s="1">
        <v>0</v>
      </c>
      <c r="CG22" s="1">
        <v>3</v>
      </c>
      <c r="CH22" s="1" t="s">
        <v>130</v>
      </c>
      <c r="CI22" s="1">
        <v>0</v>
      </c>
      <c r="CJ22" s="1">
        <v>0</v>
      </c>
      <c r="CK22" s="1">
        <v>0</v>
      </c>
      <c r="CL22" s="1" t="s">
        <v>130</v>
      </c>
      <c r="CM22" s="1" t="s">
        <v>130</v>
      </c>
      <c r="CN22" s="1" t="s">
        <v>130</v>
      </c>
      <c r="CO22" s="1">
        <v>0</v>
      </c>
      <c r="CP22" s="1">
        <v>14.322660000000001</v>
      </c>
      <c r="CQ22" s="1">
        <v>227</v>
      </c>
      <c r="CR22" s="1">
        <v>11.590680000000001</v>
      </c>
      <c r="CS22" s="1">
        <v>75</v>
      </c>
      <c r="CT22" s="1">
        <v>10.34145</v>
      </c>
      <c r="CU22" s="1">
        <v>34.824820000000003</v>
      </c>
      <c r="CV22" s="1">
        <v>0</v>
      </c>
      <c r="CW22" s="1">
        <v>42</v>
      </c>
      <c r="CX22" s="1">
        <v>11.061310000000001</v>
      </c>
      <c r="CY22" s="1">
        <v>24.04307</v>
      </c>
      <c r="CZ22" s="1">
        <v>1.77285</v>
      </c>
      <c r="DA22" s="1">
        <v>20</v>
      </c>
      <c r="DB22" s="1">
        <v>10.451090000000001</v>
      </c>
      <c r="DC22" s="1">
        <v>14.71345</v>
      </c>
      <c r="DD22" s="1">
        <v>0</v>
      </c>
      <c r="DE22" s="1">
        <v>8</v>
      </c>
      <c r="DF22" s="1">
        <v>8.8608700000000002</v>
      </c>
      <c r="DG22" s="1">
        <v>9.7397299999999998</v>
      </c>
      <c r="DH22" s="1">
        <v>0</v>
      </c>
      <c r="DI22" s="1">
        <v>3</v>
      </c>
      <c r="DJ22" s="1">
        <v>2.9922200000000001</v>
      </c>
      <c r="DK22" s="1">
        <v>2.9922200000000001</v>
      </c>
      <c r="DL22" s="1">
        <v>2.9922200000000001</v>
      </c>
      <c r="DM22" s="1">
        <v>1</v>
      </c>
      <c r="DN22" s="1">
        <v>3.7839</v>
      </c>
      <c r="DO22" s="1">
        <v>37.069220000000001</v>
      </c>
      <c r="DP22" s="1">
        <v>3.5541299999999998</v>
      </c>
      <c r="DQ22" s="1">
        <v>66.972890000000007</v>
      </c>
      <c r="DR22" s="1">
        <v>22</v>
      </c>
      <c r="DS22" s="1">
        <v>3.6908500000000002</v>
      </c>
      <c r="DT22" s="1">
        <v>3.14913</v>
      </c>
      <c r="DU22" s="1">
        <v>3287.3797199999999</v>
      </c>
      <c r="DV22" s="1">
        <v>134.07334</v>
      </c>
      <c r="DW22" s="1">
        <v>96</v>
      </c>
      <c r="DX22" s="1">
        <v>0</v>
      </c>
      <c r="DY22" s="3">
        <v>0.1030787037037037</v>
      </c>
      <c r="DZ22" t="str">
        <f>IF(GPS_Table[[#This Row],[Max Vel (% Max)]] &gt;= 90, "YES", "NO")</f>
        <v>NO</v>
      </c>
    </row>
    <row r="23" spans="1:140" ht="14.25" customHeight="1" x14ac:dyDescent="0.2">
      <c r="A23" s="1" t="s">
        <v>164</v>
      </c>
      <c r="B23" s="1" t="s">
        <v>132</v>
      </c>
      <c r="C23" s="1" t="s">
        <v>129</v>
      </c>
      <c r="D23" s="1">
        <v>21.309989999999999</v>
      </c>
      <c r="E23" s="1">
        <v>17.127559999999999</v>
      </c>
      <c r="F23" s="1">
        <v>80.373369999999994</v>
      </c>
      <c r="G23" s="1">
        <v>0.25574999999999998</v>
      </c>
      <c r="H23" s="1">
        <v>328.26911999999999</v>
      </c>
      <c r="I23" s="1">
        <v>5580.5751</v>
      </c>
      <c r="J23" s="3">
        <v>6.053240740740741E-3</v>
      </c>
      <c r="K23" s="3">
        <v>0.1030787037037037</v>
      </c>
      <c r="L23" s="1">
        <v>422.32812999999999</v>
      </c>
      <c r="M23" s="1">
        <v>24.842829999999999</v>
      </c>
      <c r="N23" s="1">
        <v>7.1529400000000001</v>
      </c>
      <c r="O23" s="1">
        <v>2.8449399999999998</v>
      </c>
      <c r="P23" s="1">
        <v>422.32812999999999</v>
      </c>
      <c r="Q23" s="1">
        <v>2277.9414700000002</v>
      </c>
      <c r="R23" s="3">
        <v>8.3333333333333339E-4</v>
      </c>
      <c r="S23" s="1">
        <v>281.27733999999998</v>
      </c>
      <c r="T23" s="1">
        <v>52</v>
      </c>
      <c r="U23" s="1">
        <v>9</v>
      </c>
      <c r="V23" s="3">
        <v>1.0416666666666667E-4</v>
      </c>
      <c r="W23" s="1">
        <v>32.206910000000001</v>
      </c>
      <c r="X23" s="1">
        <v>0</v>
      </c>
      <c r="Y23" s="1">
        <v>0</v>
      </c>
      <c r="Z23" s="3">
        <v>0</v>
      </c>
      <c r="AA23" s="1">
        <v>24</v>
      </c>
      <c r="AB23" s="1">
        <v>51.815399999999997</v>
      </c>
      <c r="AC23" s="3">
        <v>4.861111111111111E-4</v>
      </c>
      <c r="AD23" s="1">
        <v>24</v>
      </c>
      <c r="AE23" s="1">
        <v>9</v>
      </c>
      <c r="AF23" s="1">
        <v>11.08924</v>
      </c>
      <c r="AG23" s="3">
        <v>5.7870370370370373E-5</v>
      </c>
      <c r="AH23" s="1">
        <v>9</v>
      </c>
      <c r="AI23" s="1">
        <v>1</v>
      </c>
      <c r="AJ23" s="1">
        <v>0</v>
      </c>
      <c r="AK23" s="3">
        <v>0</v>
      </c>
      <c r="AL23" s="1">
        <v>1</v>
      </c>
      <c r="AM23" s="1">
        <v>4.4552699999999996</v>
      </c>
      <c r="AN23" s="1">
        <v>-5.0419799999999997</v>
      </c>
      <c r="AO23" s="1">
        <v>63.713909999999998</v>
      </c>
      <c r="AP23" s="1">
        <v>8</v>
      </c>
      <c r="AQ23" s="1">
        <v>23.392389999999999</v>
      </c>
      <c r="AR23" s="1">
        <v>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2944.8358199999998</v>
      </c>
      <c r="AZ23" s="1">
        <v>95</v>
      </c>
      <c r="BA23" s="1">
        <v>95</v>
      </c>
      <c r="BB23" s="1">
        <v>19</v>
      </c>
      <c r="BC23" s="1">
        <v>19</v>
      </c>
      <c r="BD23" s="1">
        <v>9</v>
      </c>
      <c r="BE23" s="1">
        <v>10</v>
      </c>
      <c r="BF23" s="1">
        <v>87.106300000000005</v>
      </c>
      <c r="BG23" s="1">
        <v>23.392389999999999</v>
      </c>
      <c r="BH23" s="1">
        <v>0</v>
      </c>
      <c r="BI23" s="1">
        <v>0</v>
      </c>
      <c r="BJ23" s="1">
        <v>9</v>
      </c>
      <c r="BK23" s="1">
        <v>0</v>
      </c>
      <c r="BL23" s="1">
        <v>188.24623</v>
      </c>
      <c r="BM23" s="1">
        <v>0</v>
      </c>
      <c r="BN23" s="3">
        <v>0.1030787037037037</v>
      </c>
      <c r="BO23" s="1" t="s">
        <v>130</v>
      </c>
      <c r="BP23" s="1" t="s">
        <v>130</v>
      </c>
      <c r="BQ23" s="1" t="s">
        <v>130</v>
      </c>
      <c r="BR23" s="1">
        <v>9.4767299999999999</v>
      </c>
      <c r="BS23" s="1">
        <v>296</v>
      </c>
      <c r="BT23" s="1">
        <v>11.95885</v>
      </c>
      <c r="BU23" s="1">
        <v>42</v>
      </c>
      <c r="BV23" s="1">
        <v>11.74884</v>
      </c>
      <c r="BW23" s="1">
        <v>48.084009999999999</v>
      </c>
      <c r="BX23" s="1">
        <v>0</v>
      </c>
      <c r="BY23" s="1">
        <v>20</v>
      </c>
      <c r="BZ23" s="1">
        <v>9.7438000000000002</v>
      </c>
      <c r="CA23" s="1">
        <v>32.063650000000003</v>
      </c>
      <c r="CB23" s="1">
        <v>2.38734</v>
      </c>
      <c r="CC23" s="1">
        <v>8</v>
      </c>
      <c r="CD23" s="1">
        <v>22.122710000000001</v>
      </c>
      <c r="CE23" s="1">
        <v>22.122710000000001</v>
      </c>
      <c r="CF23" s="1">
        <v>22.122710000000001</v>
      </c>
      <c r="CG23" s="1">
        <v>1</v>
      </c>
      <c r="CH23" s="1" t="s">
        <v>130</v>
      </c>
      <c r="CI23" s="1" t="s">
        <v>130</v>
      </c>
      <c r="CJ23" s="1" t="s">
        <v>130</v>
      </c>
      <c r="CK23" s="1">
        <v>0</v>
      </c>
      <c r="CL23" s="1" t="s">
        <v>130</v>
      </c>
      <c r="CM23" s="1" t="s">
        <v>130</v>
      </c>
      <c r="CN23" s="1" t="s">
        <v>130</v>
      </c>
      <c r="CO23" s="1">
        <v>0</v>
      </c>
      <c r="CP23" s="1">
        <v>9.6685300000000005</v>
      </c>
      <c r="CQ23" s="1">
        <v>292</v>
      </c>
      <c r="CR23" s="1">
        <v>11.963179999999999</v>
      </c>
      <c r="CS23" s="1">
        <v>42</v>
      </c>
      <c r="CT23" s="1">
        <v>11.67374</v>
      </c>
      <c r="CU23" s="1">
        <v>47.583129999999997</v>
      </c>
      <c r="CV23" s="1">
        <v>0</v>
      </c>
      <c r="CW23" s="1">
        <v>20</v>
      </c>
      <c r="CX23" s="1">
        <v>9.7438000000000002</v>
      </c>
      <c r="CY23" s="1">
        <v>32.063650000000003</v>
      </c>
      <c r="CZ23" s="1">
        <v>2.38734</v>
      </c>
      <c r="DA23" s="1">
        <v>8</v>
      </c>
      <c r="DB23" s="1">
        <v>22.122710000000001</v>
      </c>
      <c r="DC23" s="1">
        <v>22.122710000000001</v>
      </c>
      <c r="DD23" s="1">
        <v>22.122710000000001</v>
      </c>
      <c r="DE23" s="1">
        <v>1</v>
      </c>
      <c r="DF23" s="1" t="s">
        <v>130</v>
      </c>
      <c r="DG23" s="1" t="s">
        <v>130</v>
      </c>
      <c r="DH23" s="1" t="s">
        <v>130</v>
      </c>
      <c r="DI23" s="1">
        <v>0</v>
      </c>
      <c r="DJ23" s="1" t="s">
        <v>130</v>
      </c>
      <c r="DK23" s="1" t="s">
        <v>130</v>
      </c>
      <c r="DL23" s="1" t="s">
        <v>130</v>
      </c>
      <c r="DM23" s="1">
        <v>0</v>
      </c>
      <c r="DN23" s="1">
        <v>0</v>
      </c>
      <c r="DO23" s="1">
        <v>25.774789999999999</v>
      </c>
      <c r="DP23" s="1">
        <v>4.0819099999999997</v>
      </c>
      <c r="DQ23" s="1">
        <v>43.296149999999997</v>
      </c>
      <c r="DR23" s="1">
        <v>19</v>
      </c>
      <c r="DS23" s="1">
        <v>2.8413900000000001</v>
      </c>
      <c r="DT23" s="1">
        <v>1.56088</v>
      </c>
      <c r="DU23" s="1">
        <v>2935.3127899999999</v>
      </c>
      <c r="DV23" s="1">
        <v>135.64500000000001</v>
      </c>
      <c r="DW23" s="1">
        <v>95</v>
      </c>
      <c r="DX23" s="1">
        <v>0</v>
      </c>
      <c r="DY23" s="3">
        <v>0.1030787037037037</v>
      </c>
      <c r="DZ23" t="str">
        <f>IF(GPS_Table[[#This Row],[Max Vel (% Max)]] &gt;= 90, "YES", "NO")</f>
        <v>NO</v>
      </c>
    </row>
    <row r="24" spans="1:140" ht="14.25" customHeight="1" x14ac:dyDescent="0.2">
      <c r="A24" s="1" t="s">
        <v>165</v>
      </c>
      <c r="B24" s="1" t="s">
        <v>132</v>
      </c>
      <c r="C24" s="1" t="s">
        <v>129</v>
      </c>
      <c r="D24" s="1">
        <v>18.900010000000002</v>
      </c>
      <c r="E24" s="1">
        <v>17.516839999999998</v>
      </c>
      <c r="F24" s="1">
        <v>92.681669999999997</v>
      </c>
      <c r="G24" s="1">
        <v>0.26848</v>
      </c>
      <c r="H24" s="1">
        <v>346.10897999999997</v>
      </c>
      <c r="I24" s="1">
        <v>5883.8526000000002</v>
      </c>
      <c r="J24" s="3">
        <v>6.053240740740741E-3</v>
      </c>
      <c r="K24" s="3">
        <v>0.1030787037037037</v>
      </c>
      <c r="L24" s="1">
        <v>594.86497999999995</v>
      </c>
      <c r="M24" s="1">
        <v>34.992060000000002</v>
      </c>
      <c r="N24" s="1">
        <v>7.3239999999999998</v>
      </c>
      <c r="O24" s="1">
        <v>4.0072000000000001</v>
      </c>
      <c r="P24" s="1">
        <v>594.86497999999995</v>
      </c>
      <c r="Q24" s="1">
        <v>2391.3147100000001</v>
      </c>
      <c r="R24" s="3">
        <v>1.3888888888888889E-3</v>
      </c>
      <c r="S24" s="1">
        <v>377.02319</v>
      </c>
      <c r="T24" s="1">
        <v>64</v>
      </c>
      <c r="U24" s="1">
        <v>12</v>
      </c>
      <c r="V24" s="3">
        <v>2.199074074074074E-4</v>
      </c>
      <c r="W24" s="1">
        <v>34.58005</v>
      </c>
      <c r="X24" s="1">
        <v>0</v>
      </c>
      <c r="Y24" s="1">
        <v>0</v>
      </c>
      <c r="Z24" s="3">
        <v>0</v>
      </c>
      <c r="AA24" s="1">
        <v>49</v>
      </c>
      <c r="AB24" s="1">
        <v>79.385390000000001</v>
      </c>
      <c r="AC24" s="3">
        <v>7.6388888888888893E-4</v>
      </c>
      <c r="AD24" s="1">
        <v>49</v>
      </c>
      <c r="AE24" s="1">
        <v>4</v>
      </c>
      <c r="AF24" s="1">
        <v>3.57612</v>
      </c>
      <c r="AG24" s="3">
        <v>2.3148148148148147E-5</v>
      </c>
      <c r="AH24" s="1">
        <v>4</v>
      </c>
      <c r="AI24" s="1">
        <v>0</v>
      </c>
      <c r="AJ24" s="1">
        <v>0</v>
      </c>
      <c r="AK24" s="3">
        <v>0</v>
      </c>
      <c r="AL24" s="1">
        <v>0</v>
      </c>
      <c r="AM24" s="1">
        <v>4.2633400000000004</v>
      </c>
      <c r="AN24" s="1">
        <v>-3.7536200000000002</v>
      </c>
      <c r="AO24" s="1">
        <v>131.31014999999999</v>
      </c>
      <c r="AP24" s="1">
        <v>19</v>
      </c>
      <c r="AQ24" s="1">
        <v>30.621169999999999</v>
      </c>
      <c r="AR24" s="1">
        <v>4</v>
      </c>
      <c r="AS24" s="1">
        <v>40.25591</v>
      </c>
      <c r="AT24" s="1">
        <v>28.597989999999999</v>
      </c>
      <c r="AU24" s="1">
        <v>2</v>
      </c>
      <c r="AV24" s="1">
        <v>1</v>
      </c>
      <c r="AW24" s="1">
        <v>11.657920000000001</v>
      </c>
      <c r="AX24" s="1">
        <v>1</v>
      </c>
      <c r="AY24" s="1">
        <v>3654.8171699999998</v>
      </c>
      <c r="AZ24" s="1">
        <v>129</v>
      </c>
      <c r="BA24" s="1">
        <v>129</v>
      </c>
      <c r="BB24" s="1">
        <v>16</v>
      </c>
      <c r="BC24" s="1">
        <v>16</v>
      </c>
      <c r="BD24" s="1">
        <v>12</v>
      </c>
      <c r="BE24" s="1">
        <v>4</v>
      </c>
      <c r="BF24" s="1">
        <v>202.18723</v>
      </c>
      <c r="BG24" s="1">
        <v>70.877080000000007</v>
      </c>
      <c r="BH24" s="1">
        <v>40.25591</v>
      </c>
      <c r="BI24" s="1">
        <v>11.657920000000001</v>
      </c>
      <c r="BJ24" s="1">
        <v>26</v>
      </c>
      <c r="BK24" s="1">
        <v>0</v>
      </c>
      <c r="BL24" s="1">
        <v>198.54096999999999</v>
      </c>
      <c r="BM24" s="1">
        <v>1</v>
      </c>
      <c r="BN24" s="3">
        <v>0.1030787037037037</v>
      </c>
      <c r="BO24" s="1" t="s">
        <v>130</v>
      </c>
      <c r="BP24" s="1" t="s">
        <v>130</v>
      </c>
      <c r="BQ24" s="1" t="s">
        <v>130</v>
      </c>
      <c r="BR24" s="1">
        <v>11.9314</v>
      </c>
      <c r="BS24" s="1">
        <v>286</v>
      </c>
      <c r="BT24" s="1">
        <v>9.5434599999999996</v>
      </c>
      <c r="BU24" s="1">
        <v>81</v>
      </c>
      <c r="BV24" s="1">
        <v>9.1656099999999991</v>
      </c>
      <c r="BW24" s="1">
        <v>38.792569999999998</v>
      </c>
      <c r="BX24" s="1">
        <v>1.7595000000000001</v>
      </c>
      <c r="BY24" s="1">
        <v>42</v>
      </c>
      <c r="BZ24" s="1">
        <v>10.352449999999999</v>
      </c>
      <c r="CA24" s="1">
        <v>35.773249999999997</v>
      </c>
      <c r="CB24" s="1">
        <v>2.61389</v>
      </c>
      <c r="CC24" s="1">
        <v>19</v>
      </c>
      <c r="CD24" s="1">
        <v>19.791869999999999</v>
      </c>
      <c r="CE24" s="1">
        <v>28.336490000000001</v>
      </c>
      <c r="CF24" s="1">
        <v>0</v>
      </c>
      <c r="CG24" s="1">
        <v>3</v>
      </c>
      <c r="CH24" s="1">
        <v>19.05565</v>
      </c>
      <c r="CI24" s="1">
        <v>21.104520000000001</v>
      </c>
      <c r="CJ24" s="1">
        <v>17.006769999999999</v>
      </c>
      <c r="CK24" s="1">
        <v>2</v>
      </c>
      <c r="CL24" s="1">
        <v>9.2836599999999994</v>
      </c>
      <c r="CM24" s="1">
        <v>9.2836599999999994</v>
      </c>
      <c r="CN24" s="1">
        <v>0</v>
      </c>
      <c r="CO24" s="1">
        <v>1</v>
      </c>
      <c r="CP24" s="1">
        <v>11.74722</v>
      </c>
      <c r="CQ24" s="1">
        <v>300</v>
      </c>
      <c r="CR24" s="1">
        <v>9.7082499999999996</v>
      </c>
      <c r="CS24" s="1">
        <v>89</v>
      </c>
      <c r="CT24" s="1">
        <v>8.7146699999999999</v>
      </c>
      <c r="CU24" s="1">
        <v>39.368879999999997</v>
      </c>
      <c r="CV24" s="1">
        <v>1.55498</v>
      </c>
      <c r="CW24" s="1">
        <v>54</v>
      </c>
      <c r="CX24" s="1">
        <v>11.20025</v>
      </c>
      <c r="CY24" s="1">
        <v>36.808929999999997</v>
      </c>
      <c r="CZ24" s="1">
        <v>1.95628</v>
      </c>
      <c r="DA24" s="1">
        <v>21</v>
      </c>
      <c r="DB24" s="1">
        <v>15.356260000000001</v>
      </c>
      <c r="DC24" s="1">
        <v>30.931819999999998</v>
      </c>
      <c r="DD24" s="1">
        <v>2.5153599999999998</v>
      </c>
      <c r="DE24" s="1">
        <v>5</v>
      </c>
      <c r="DF24" s="1">
        <v>17.6418</v>
      </c>
      <c r="DG24" s="1">
        <v>26.222560000000001</v>
      </c>
      <c r="DH24" s="1">
        <v>6.5913199999999996</v>
      </c>
      <c r="DI24" s="1">
        <v>3</v>
      </c>
      <c r="DJ24" s="1">
        <v>14.76815</v>
      </c>
      <c r="DK24" s="1">
        <v>15.56757</v>
      </c>
      <c r="DL24" s="1">
        <v>13.968730000000001</v>
      </c>
      <c r="DM24" s="1">
        <v>2</v>
      </c>
      <c r="DN24" s="1">
        <v>40.25591</v>
      </c>
      <c r="DO24" s="1">
        <v>35.308039999999998</v>
      </c>
      <c r="DP24" s="1">
        <v>4.0641999999999996</v>
      </c>
      <c r="DQ24" s="1">
        <v>38.156170000000003</v>
      </c>
      <c r="DR24" s="1">
        <v>16</v>
      </c>
      <c r="DS24" s="1">
        <v>2.8577900000000001</v>
      </c>
      <c r="DT24" s="1">
        <v>3.4363100000000002</v>
      </c>
      <c r="DU24" s="1">
        <v>3648.0205500000002</v>
      </c>
      <c r="DV24" s="1">
        <v>128.46167</v>
      </c>
      <c r="DW24" s="1">
        <v>129</v>
      </c>
      <c r="DX24" s="1">
        <v>0</v>
      </c>
      <c r="DY24" s="3">
        <v>0.1030787037037037</v>
      </c>
      <c r="DZ24" t="str">
        <f>IF(GPS_Table[[#This Row],[Max Vel (% Max)]] &gt;= 90, "YES", "NO")</f>
        <v>YES</v>
      </c>
    </row>
    <row r="25" spans="1:140" ht="14.25" customHeight="1" x14ac:dyDescent="0.2">
      <c r="A25" s="1" t="s">
        <v>166</v>
      </c>
      <c r="B25" s="1" t="s">
        <v>134</v>
      </c>
      <c r="C25" s="1" t="s">
        <v>129</v>
      </c>
      <c r="D25" s="1">
        <v>19.900010000000002</v>
      </c>
      <c r="E25" s="1">
        <v>13.28791</v>
      </c>
      <c r="F25" s="1">
        <v>66.773390000000006</v>
      </c>
      <c r="G25" s="1">
        <v>0.21293000000000001</v>
      </c>
      <c r="H25" s="1">
        <v>286.63594000000001</v>
      </c>
      <c r="I25" s="1">
        <v>4586.1750000000002</v>
      </c>
      <c r="J25" s="3">
        <v>6.4351851851851853E-3</v>
      </c>
      <c r="K25" s="3">
        <v>0.1030787037037037</v>
      </c>
      <c r="L25" s="1">
        <v>391.13742000000002</v>
      </c>
      <c r="M25" s="1">
        <v>24.446090000000002</v>
      </c>
      <c r="N25" s="1">
        <v>5.7610900000000003</v>
      </c>
      <c r="O25" s="1">
        <v>2.6348199999999999</v>
      </c>
      <c r="P25" s="1">
        <v>391.13742000000002</v>
      </c>
      <c r="Q25" s="1">
        <v>1896.5925299999999</v>
      </c>
      <c r="R25" s="3">
        <v>3.5879629629629629E-4</v>
      </c>
      <c r="S25" s="1">
        <v>116.2839</v>
      </c>
      <c r="T25" s="1">
        <v>16</v>
      </c>
      <c r="U25" s="1">
        <v>10</v>
      </c>
      <c r="V25" s="3">
        <v>9.2592592592592588E-5</v>
      </c>
      <c r="W25" s="1">
        <v>40.72616</v>
      </c>
      <c r="X25" s="1">
        <v>0</v>
      </c>
      <c r="Y25" s="1">
        <v>1.41076</v>
      </c>
      <c r="Z25" s="3">
        <v>0</v>
      </c>
      <c r="AA25" s="1">
        <v>12</v>
      </c>
      <c r="AB25" s="1">
        <v>14.8622</v>
      </c>
      <c r="AC25" s="3">
        <v>9.2592592592592588E-5</v>
      </c>
      <c r="AD25" s="1">
        <v>12</v>
      </c>
      <c r="AE25" s="1">
        <v>2</v>
      </c>
      <c r="AF25" s="1">
        <v>1.44357</v>
      </c>
      <c r="AG25" s="3">
        <v>0</v>
      </c>
      <c r="AH25" s="1">
        <v>2</v>
      </c>
      <c r="AI25" s="1">
        <v>0</v>
      </c>
      <c r="AJ25" s="1">
        <v>0</v>
      </c>
      <c r="AK25" s="3">
        <v>0</v>
      </c>
      <c r="AL25" s="1">
        <v>0</v>
      </c>
      <c r="AM25" s="1">
        <v>4.8321899999999998</v>
      </c>
      <c r="AN25" s="1">
        <v>-4.0661500000000004</v>
      </c>
      <c r="AO25" s="1">
        <v>18.744530000000001</v>
      </c>
      <c r="AP25" s="1">
        <v>1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2034.5127399999999</v>
      </c>
      <c r="AZ25" s="1">
        <v>40</v>
      </c>
      <c r="BA25" s="1">
        <v>40</v>
      </c>
      <c r="BB25" s="1">
        <v>12</v>
      </c>
      <c r="BC25" s="1">
        <v>12</v>
      </c>
      <c r="BD25" s="1">
        <v>10</v>
      </c>
      <c r="BE25" s="1">
        <v>2</v>
      </c>
      <c r="BF25" s="1">
        <v>18.744530000000001</v>
      </c>
      <c r="BG25" s="1">
        <v>0</v>
      </c>
      <c r="BH25" s="1">
        <v>0</v>
      </c>
      <c r="BI25" s="1">
        <v>0</v>
      </c>
      <c r="BJ25" s="1">
        <v>1</v>
      </c>
      <c r="BK25" s="1">
        <v>0</v>
      </c>
      <c r="BL25" s="1">
        <v>157.03534999999999</v>
      </c>
      <c r="BM25" s="1">
        <v>0</v>
      </c>
      <c r="BN25" s="3">
        <v>0.1030787037037037</v>
      </c>
      <c r="BO25" s="1" t="s">
        <v>130</v>
      </c>
      <c r="BP25" s="1" t="s">
        <v>130</v>
      </c>
      <c r="BQ25" s="1" t="s">
        <v>130</v>
      </c>
      <c r="BR25" s="1">
        <v>10.13922</v>
      </c>
      <c r="BS25" s="1">
        <v>190</v>
      </c>
      <c r="BT25" s="1">
        <v>8.3420299999999994</v>
      </c>
      <c r="BU25" s="1">
        <v>30</v>
      </c>
      <c r="BV25" s="1">
        <v>9.3285599999999995</v>
      </c>
      <c r="BW25" s="1">
        <v>20.648489999999999</v>
      </c>
      <c r="BX25" s="1">
        <v>0</v>
      </c>
      <c r="BY25" s="1">
        <v>12</v>
      </c>
      <c r="BZ25" s="1">
        <v>14.942</v>
      </c>
      <c r="CA25" s="1">
        <v>14.942</v>
      </c>
      <c r="CB25" s="1">
        <v>0</v>
      </c>
      <c r="CC25" s="1">
        <v>1</v>
      </c>
      <c r="CD25" s="1" t="s">
        <v>130</v>
      </c>
      <c r="CE25" s="1" t="s">
        <v>130</v>
      </c>
      <c r="CF25" s="1" t="s">
        <v>130</v>
      </c>
      <c r="CG25" s="1">
        <v>0</v>
      </c>
      <c r="CH25" s="1" t="s">
        <v>130</v>
      </c>
      <c r="CI25" s="1" t="s">
        <v>130</v>
      </c>
      <c r="CJ25" s="1" t="s">
        <v>130</v>
      </c>
      <c r="CK25" s="1">
        <v>0</v>
      </c>
      <c r="CL25" s="1" t="s">
        <v>130</v>
      </c>
      <c r="CM25" s="1" t="s">
        <v>130</v>
      </c>
      <c r="CN25" s="1" t="s">
        <v>130</v>
      </c>
      <c r="CO25" s="1">
        <v>0</v>
      </c>
      <c r="CP25" s="1">
        <v>10.05273</v>
      </c>
      <c r="CQ25" s="1">
        <v>191</v>
      </c>
      <c r="CR25" s="1">
        <v>8.3420299999999994</v>
      </c>
      <c r="CS25" s="1">
        <v>30</v>
      </c>
      <c r="CT25" s="1">
        <v>9.3285599999999995</v>
      </c>
      <c r="CU25" s="1">
        <v>20.648489999999999</v>
      </c>
      <c r="CV25" s="1">
        <v>0</v>
      </c>
      <c r="CW25" s="1">
        <v>12</v>
      </c>
      <c r="CX25" s="1">
        <v>14.942</v>
      </c>
      <c r="CY25" s="1">
        <v>14.942</v>
      </c>
      <c r="CZ25" s="1">
        <v>0</v>
      </c>
      <c r="DA25" s="1">
        <v>1</v>
      </c>
      <c r="DB25" s="1" t="s">
        <v>130</v>
      </c>
      <c r="DC25" s="1" t="s">
        <v>130</v>
      </c>
      <c r="DD25" s="1" t="s">
        <v>130</v>
      </c>
      <c r="DE25" s="1">
        <v>0</v>
      </c>
      <c r="DF25" s="1" t="s">
        <v>130</v>
      </c>
      <c r="DG25" s="1" t="s">
        <v>130</v>
      </c>
      <c r="DH25" s="1" t="s">
        <v>130</v>
      </c>
      <c r="DI25" s="1">
        <v>0</v>
      </c>
      <c r="DJ25" s="1" t="s">
        <v>130</v>
      </c>
      <c r="DK25" s="1" t="s">
        <v>130</v>
      </c>
      <c r="DL25" s="1" t="s">
        <v>130</v>
      </c>
      <c r="DM25" s="1">
        <v>0</v>
      </c>
      <c r="DN25" s="1">
        <v>0</v>
      </c>
      <c r="DO25" s="1">
        <v>17.263680000000001</v>
      </c>
      <c r="DP25" s="1">
        <v>4.1354600000000001</v>
      </c>
      <c r="DQ25" s="1">
        <v>43.580489999999998</v>
      </c>
      <c r="DR25" s="1">
        <v>12</v>
      </c>
      <c r="DS25" s="1">
        <v>4.4741299999999997</v>
      </c>
      <c r="DT25" s="1">
        <v>0.40872000000000003</v>
      </c>
      <c r="DU25" s="1">
        <v>2045.3740399999999</v>
      </c>
      <c r="DV25" s="1">
        <v>139.31833</v>
      </c>
      <c r="DW25" s="1">
        <v>40</v>
      </c>
      <c r="DX25" s="1">
        <v>0</v>
      </c>
      <c r="DY25" s="3">
        <v>0.1030787037037037</v>
      </c>
      <c r="DZ25" t="str">
        <f>IF(GPS_Table[[#This Row],[Max Vel (% Max)]] &gt;= 90, "YES", "NO")</f>
        <v>NO</v>
      </c>
    </row>
    <row r="26" spans="1:140" ht="14.25" customHeight="1" x14ac:dyDescent="0.2">
      <c r="A26" s="1" t="s">
        <v>167</v>
      </c>
      <c r="B26" s="1" t="s">
        <v>134</v>
      </c>
      <c r="C26" s="1" t="s">
        <v>129</v>
      </c>
      <c r="D26" s="1">
        <v>20.599989999999998</v>
      </c>
      <c r="E26" s="1">
        <v>14.58351</v>
      </c>
      <c r="F26" s="1">
        <v>70.793760000000006</v>
      </c>
      <c r="G26" s="1">
        <v>0.19844000000000001</v>
      </c>
      <c r="H26" s="1">
        <v>266.60084000000001</v>
      </c>
      <c r="I26" s="1">
        <v>4265.6134599999996</v>
      </c>
      <c r="J26" s="3">
        <v>6.4351851851851853E-3</v>
      </c>
      <c r="K26" s="3">
        <v>0.1030787037037037</v>
      </c>
      <c r="L26" s="1">
        <v>361.20672999999999</v>
      </c>
      <c r="M26" s="1">
        <v>22.575420000000001</v>
      </c>
      <c r="N26" s="1">
        <v>7.2843499999999999</v>
      </c>
      <c r="O26" s="1">
        <v>2.4331999999999998</v>
      </c>
      <c r="P26" s="1">
        <v>361.20672999999999</v>
      </c>
      <c r="Q26" s="1">
        <v>1767.5084099999999</v>
      </c>
      <c r="R26" s="3">
        <v>3.9351851851851852E-4</v>
      </c>
      <c r="S26" s="1">
        <v>120.81146</v>
      </c>
      <c r="T26" s="1">
        <v>20</v>
      </c>
      <c r="U26" s="1">
        <v>5</v>
      </c>
      <c r="V26" s="3">
        <v>1.1574074074074075E-4</v>
      </c>
      <c r="W26" s="1">
        <v>34.197290000000002</v>
      </c>
      <c r="X26" s="1">
        <v>0</v>
      </c>
      <c r="Y26" s="1">
        <v>1.2029700000000001</v>
      </c>
      <c r="Z26" s="3">
        <v>0</v>
      </c>
      <c r="AA26" s="1">
        <v>16</v>
      </c>
      <c r="AB26" s="1">
        <v>15.059060000000001</v>
      </c>
      <c r="AC26" s="3">
        <v>2.3148148148148149E-4</v>
      </c>
      <c r="AD26" s="1">
        <v>16</v>
      </c>
      <c r="AE26" s="1">
        <v>2</v>
      </c>
      <c r="AF26" s="1">
        <v>0.52493000000000001</v>
      </c>
      <c r="AG26" s="3">
        <v>0</v>
      </c>
      <c r="AH26" s="1">
        <v>2</v>
      </c>
      <c r="AI26" s="1">
        <v>0</v>
      </c>
      <c r="AJ26" s="1">
        <v>0</v>
      </c>
      <c r="AK26" s="3">
        <v>0</v>
      </c>
      <c r="AL26" s="1">
        <v>0</v>
      </c>
      <c r="AM26" s="1">
        <v>3.9283299999999999</v>
      </c>
      <c r="AN26" s="1">
        <v>-3.9044099999999999</v>
      </c>
      <c r="AO26" s="1">
        <v>13.26553</v>
      </c>
      <c r="AP26" s="1">
        <v>2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1689.7385400000001</v>
      </c>
      <c r="AZ26" s="1">
        <v>43</v>
      </c>
      <c r="BA26" s="1">
        <v>43</v>
      </c>
      <c r="BB26" s="1">
        <v>7</v>
      </c>
      <c r="BC26" s="1">
        <v>7</v>
      </c>
      <c r="BD26" s="1">
        <v>5</v>
      </c>
      <c r="BE26" s="1">
        <v>2</v>
      </c>
      <c r="BF26" s="1">
        <v>13.26553</v>
      </c>
      <c r="BG26" s="1">
        <v>0</v>
      </c>
      <c r="BH26" s="1">
        <v>0</v>
      </c>
      <c r="BI26" s="1">
        <v>0</v>
      </c>
      <c r="BJ26" s="1">
        <v>2</v>
      </c>
      <c r="BK26" s="1">
        <v>0</v>
      </c>
      <c r="BL26" s="1">
        <v>142.31395000000001</v>
      </c>
      <c r="BM26" s="1">
        <v>0</v>
      </c>
      <c r="BN26" s="3">
        <v>0.1030787037037037</v>
      </c>
      <c r="BO26" s="1" t="s">
        <v>130</v>
      </c>
      <c r="BP26" s="1" t="s">
        <v>130</v>
      </c>
      <c r="BQ26" s="1" t="s">
        <v>130</v>
      </c>
      <c r="BR26" s="1">
        <v>9.2360399999999991</v>
      </c>
      <c r="BS26" s="1">
        <v>153</v>
      </c>
      <c r="BT26" s="1">
        <v>8.04101</v>
      </c>
      <c r="BU26" s="1">
        <v>26</v>
      </c>
      <c r="BV26" s="1">
        <v>6.6077500000000002</v>
      </c>
      <c r="BW26" s="1">
        <v>12.759180000000001</v>
      </c>
      <c r="BX26" s="1">
        <v>0</v>
      </c>
      <c r="BY26" s="1">
        <v>8</v>
      </c>
      <c r="BZ26" s="1">
        <v>5.31494</v>
      </c>
      <c r="CA26" s="1">
        <v>7.6782500000000002</v>
      </c>
      <c r="CB26" s="1">
        <v>2.9516300000000002</v>
      </c>
      <c r="CC26" s="1">
        <v>2</v>
      </c>
      <c r="CD26" s="1" t="s">
        <v>130</v>
      </c>
      <c r="CE26" s="1" t="s">
        <v>130</v>
      </c>
      <c r="CF26" s="1" t="s">
        <v>130</v>
      </c>
      <c r="CG26" s="1">
        <v>0</v>
      </c>
      <c r="CH26" s="1" t="s">
        <v>130</v>
      </c>
      <c r="CI26" s="1" t="s">
        <v>130</v>
      </c>
      <c r="CJ26" s="1" t="s">
        <v>130</v>
      </c>
      <c r="CK26" s="1">
        <v>0</v>
      </c>
      <c r="CL26" s="1" t="s">
        <v>130</v>
      </c>
      <c r="CM26" s="1" t="s">
        <v>130</v>
      </c>
      <c r="CN26" s="1" t="s">
        <v>130</v>
      </c>
      <c r="CO26" s="1">
        <v>0</v>
      </c>
      <c r="CP26" s="1">
        <v>9.1913</v>
      </c>
      <c r="CQ26" s="1">
        <v>153</v>
      </c>
      <c r="CR26" s="1">
        <v>7.9107799999999999</v>
      </c>
      <c r="CS26" s="1">
        <v>26</v>
      </c>
      <c r="CT26" s="1">
        <v>6.5377599999999996</v>
      </c>
      <c r="CU26" s="1">
        <v>12.759180000000001</v>
      </c>
      <c r="CV26" s="1">
        <v>0</v>
      </c>
      <c r="CW26" s="1">
        <v>8</v>
      </c>
      <c r="CX26" s="1">
        <v>5.31494</v>
      </c>
      <c r="CY26" s="1">
        <v>7.6782500000000002</v>
      </c>
      <c r="CZ26" s="1">
        <v>2.9516300000000002</v>
      </c>
      <c r="DA26" s="1">
        <v>2</v>
      </c>
      <c r="DB26" s="1" t="s">
        <v>130</v>
      </c>
      <c r="DC26" s="1" t="s">
        <v>130</v>
      </c>
      <c r="DD26" s="1" t="s">
        <v>130</v>
      </c>
      <c r="DE26" s="1">
        <v>0</v>
      </c>
      <c r="DF26" s="1" t="s">
        <v>130</v>
      </c>
      <c r="DG26" s="1" t="s">
        <v>130</v>
      </c>
      <c r="DH26" s="1" t="s">
        <v>130</v>
      </c>
      <c r="DI26" s="1">
        <v>0</v>
      </c>
      <c r="DJ26" s="1" t="s">
        <v>130</v>
      </c>
      <c r="DK26" s="1" t="s">
        <v>130</v>
      </c>
      <c r="DL26" s="1" t="s">
        <v>130</v>
      </c>
      <c r="DM26" s="1">
        <v>0</v>
      </c>
      <c r="DN26" s="1">
        <v>0</v>
      </c>
      <c r="DO26" s="1">
        <v>13.00456</v>
      </c>
      <c r="DP26" s="1">
        <v>4.1436200000000003</v>
      </c>
      <c r="DQ26" s="1">
        <v>35.925190000000001</v>
      </c>
      <c r="DR26" s="1">
        <v>7</v>
      </c>
      <c r="DS26" s="1">
        <v>5.2601500000000003</v>
      </c>
      <c r="DT26" s="1">
        <v>0.31098999999999999</v>
      </c>
      <c r="DU26" s="1">
        <v>1682.0866100000001</v>
      </c>
      <c r="DV26" s="1">
        <v>138.77332999999999</v>
      </c>
      <c r="DW26" s="1">
        <v>43</v>
      </c>
      <c r="DX26" s="1">
        <v>0</v>
      </c>
      <c r="DY26" s="3">
        <v>0.1030787037037037</v>
      </c>
      <c r="DZ26" t="str">
        <f>IF(GPS_Table[[#This Row],[Max Vel (% Max)]] &gt;= 90, "YES", "NO")</f>
        <v>NO</v>
      </c>
    </row>
    <row r="27" spans="1:140" s="4" customFormat="1" ht="14.25" customHeight="1" x14ac:dyDescent="0.2">
      <c r="A27" s="1" t="s">
        <v>168</v>
      </c>
      <c r="B27" s="1" t="s">
        <v>134</v>
      </c>
      <c r="C27" s="1" t="s">
        <v>129</v>
      </c>
      <c r="D27" s="1">
        <v>19.2</v>
      </c>
      <c r="E27" s="1">
        <v>15.15915</v>
      </c>
      <c r="F27" s="1">
        <v>78.953890000000001</v>
      </c>
      <c r="G27" s="1">
        <v>0.19039</v>
      </c>
      <c r="H27" s="1">
        <v>268.66350999999997</v>
      </c>
      <c r="I27" s="1">
        <v>4298.6162100000001</v>
      </c>
      <c r="J27" s="3">
        <v>6.4351851851851853E-3</v>
      </c>
      <c r="K27" s="3">
        <v>0.1030787037037037</v>
      </c>
      <c r="L27" s="1">
        <v>412.38711000000001</v>
      </c>
      <c r="M27" s="1">
        <v>25.774190000000001</v>
      </c>
      <c r="N27" s="1">
        <v>6.8501899999999996</v>
      </c>
      <c r="O27" s="1">
        <v>2.7779699999999998</v>
      </c>
      <c r="P27" s="1">
        <v>412.38711000000001</v>
      </c>
      <c r="Q27" s="1">
        <v>1695.7933</v>
      </c>
      <c r="R27" s="3">
        <v>4.861111111111111E-4</v>
      </c>
      <c r="S27" s="1">
        <v>161.52669</v>
      </c>
      <c r="T27" s="1">
        <v>31</v>
      </c>
      <c r="U27" s="1">
        <v>4</v>
      </c>
      <c r="V27" s="3">
        <v>6.9444444444444444E-5</v>
      </c>
      <c r="W27" s="1">
        <v>36.001750000000001</v>
      </c>
      <c r="X27" s="1">
        <v>0</v>
      </c>
      <c r="Y27" s="1">
        <v>0</v>
      </c>
      <c r="Z27" s="3">
        <v>0</v>
      </c>
      <c r="AA27" s="1">
        <v>18</v>
      </c>
      <c r="AB27" s="1">
        <v>26.520119999999999</v>
      </c>
      <c r="AC27" s="3">
        <v>2.5462962962962961E-4</v>
      </c>
      <c r="AD27" s="1">
        <v>18</v>
      </c>
      <c r="AE27" s="1">
        <v>2</v>
      </c>
      <c r="AF27" s="1">
        <v>1.7279100000000001</v>
      </c>
      <c r="AG27" s="3">
        <v>1.1574074074074073E-5</v>
      </c>
      <c r="AH27" s="1">
        <v>2</v>
      </c>
      <c r="AI27" s="1">
        <v>0</v>
      </c>
      <c r="AJ27" s="1">
        <v>0</v>
      </c>
      <c r="AK27" s="3">
        <v>0</v>
      </c>
      <c r="AL27" s="1">
        <v>0</v>
      </c>
      <c r="AM27" s="1">
        <v>4.2306299999999997</v>
      </c>
      <c r="AN27" s="1">
        <v>-3.8766500000000002</v>
      </c>
      <c r="AO27" s="1">
        <v>44.663170000000001</v>
      </c>
      <c r="AP27" s="1">
        <v>5</v>
      </c>
      <c r="AQ27" s="1">
        <v>4.5166199999999996</v>
      </c>
      <c r="AR27" s="1">
        <v>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2101.2627400000001</v>
      </c>
      <c r="AZ27" s="1">
        <v>55</v>
      </c>
      <c r="BA27" s="1">
        <v>55</v>
      </c>
      <c r="BB27" s="1">
        <v>6</v>
      </c>
      <c r="BC27" s="1">
        <v>6</v>
      </c>
      <c r="BD27" s="1">
        <v>4</v>
      </c>
      <c r="BE27" s="1">
        <v>2</v>
      </c>
      <c r="BF27" s="1">
        <v>49.179789999999997</v>
      </c>
      <c r="BG27" s="1">
        <v>4.5166199999999996</v>
      </c>
      <c r="BH27" s="1">
        <v>0</v>
      </c>
      <c r="BI27" s="1">
        <v>0</v>
      </c>
      <c r="BJ27" s="1">
        <v>6</v>
      </c>
      <c r="BK27" s="1">
        <v>0</v>
      </c>
      <c r="BL27" s="1">
        <v>146.29812000000001</v>
      </c>
      <c r="BM27" s="1">
        <v>0</v>
      </c>
      <c r="BN27" s="3">
        <v>0.1030787037037037</v>
      </c>
      <c r="BO27" s="1" t="s">
        <v>130</v>
      </c>
      <c r="BP27" s="1" t="s">
        <v>130</v>
      </c>
      <c r="BQ27" s="1" t="s">
        <v>130</v>
      </c>
      <c r="BR27" s="1">
        <v>9.7807099999999991</v>
      </c>
      <c r="BS27" s="1">
        <v>210</v>
      </c>
      <c r="BT27" s="1">
        <v>7.6277499999999998</v>
      </c>
      <c r="BU27" s="1">
        <v>42</v>
      </c>
      <c r="BV27" s="1">
        <v>9.3027499999999996</v>
      </c>
      <c r="BW27" s="1">
        <v>28.19659</v>
      </c>
      <c r="BX27" s="1">
        <v>1.8460099999999999</v>
      </c>
      <c r="BY27" s="1">
        <v>15</v>
      </c>
      <c r="BZ27" s="1">
        <v>9.6610800000000001</v>
      </c>
      <c r="CA27" s="1">
        <v>20.130120000000002</v>
      </c>
      <c r="CB27" s="1">
        <v>0</v>
      </c>
      <c r="CC27" s="1">
        <v>4</v>
      </c>
      <c r="CD27" s="1">
        <v>3.3355700000000001</v>
      </c>
      <c r="CE27" s="1">
        <v>3.3355700000000001</v>
      </c>
      <c r="CF27" s="1">
        <v>3.3355700000000001</v>
      </c>
      <c r="CG27" s="1">
        <v>1</v>
      </c>
      <c r="CH27" s="1" t="s">
        <v>130</v>
      </c>
      <c r="CI27" s="1" t="s">
        <v>130</v>
      </c>
      <c r="CJ27" s="1" t="s">
        <v>130</v>
      </c>
      <c r="CK27" s="1">
        <v>0</v>
      </c>
      <c r="CL27" s="1" t="s">
        <v>130</v>
      </c>
      <c r="CM27" s="1" t="s">
        <v>130</v>
      </c>
      <c r="CN27" s="1" t="s">
        <v>130</v>
      </c>
      <c r="CO27" s="1">
        <v>0</v>
      </c>
      <c r="CP27" s="1">
        <v>9.7807099999999991</v>
      </c>
      <c r="CQ27" s="1">
        <v>210</v>
      </c>
      <c r="CR27" s="1">
        <v>7.6277499999999998</v>
      </c>
      <c r="CS27" s="1">
        <v>42</v>
      </c>
      <c r="CT27" s="1">
        <v>9.3027499999999996</v>
      </c>
      <c r="CU27" s="1">
        <v>28.19659</v>
      </c>
      <c r="CV27" s="1">
        <v>1.8460099999999999</v>
      </c>
      <c r="CW27" s="1">
        <v>15</v>
      </c>
      <c r="CX27" s="1">
        <v>9.6610800000000001</v>
      </c>
      <c r="CY27" s="1">
        <v>20.130120000000002</v>
      </c>
      <c r="CZ27" s="1">
        <v>0</v>
      </c>
      <c r="DA27" s="1">
        <v>4</v>
      </c>
      <c r="DB27" s="1">
        <v>3.3355700000000001</v>
      </c>
      <c r="DC27" s="1">
        <v>3.3355700000000001</v>
      </c>
      <c r="DD27" s="1">
        <v>3.3355700000000001</v>
      </c>
      <c r="DE27" s="1">
        <v>1</v>
      </c>
      <c r="DF27" s="1" t="s">
        <v>130</v>
      </c>
      <c r="DG27" s="1" t="s">
        <v>130</v>
      </c>
      <c r="DH27" s="1" t="s">
        <v>130</v>
      </c>
      <c r="DI27" s="1">
        <v>0</v>
      </c>
      <c r="DJ27" s="1" t="s">
        <v>130</v>
      </c>
      <c r="DK27" s="1" t="s">
        <v>130</v>
      </c>
      <c r="DL27" s="1" t="s">
        <v>130</v>
      </c>
      <c r="DM27" s="1">
        <v>0</v>
      </c>
      <c r="DN27" s="1">
        <v>0</v>
      </c>
      <c r="DO27" s="1">
        <v>14.7502</v>
      </c>
      <c r="DP27" s="1">
        <v>3.9449700000000001</v>
      </c>
      <c r="DQ27" s="1">
        <v>37.729660000000003</v>
      </c>
      <c r="DR27" s="1">
        <v>6</v>
      </c>
      <c r="DS27" s="1">
        <v>4.0010899999999996</v>
      </c>
      <c r="DT27" s="1">
        <v>1.14408</v>
      </c>
      <c r="DU27" s="1">
        <v>2094.8818900000001</v>
      </c>
      <c r="DV27" s="1">
        <v>137.67167000000001</v>
      </c>
      <c r="DW27" s="1">
        <v>55</v>
      </c>
      <c r="DX27" s="1">
        <v>0</v>
      </c>
      <c r="DY27" s="3">
        <v>0.1030787037037037</v>
      </c>
      <c r="DZ27" t="str">
        <f>IF(GPS_Table[[#This Row],[Max Vel (% Max)]] &gt;= 90, "YES", "NO")</f>
        <v>NO</v>
      </c>
      <c r="EA27"/>
      <c r="EB27"/>
      <c r="EC27"/>
      <c r="ED27"/>
      <c r="EE27"/>
      <c r="EF27"/>
      <c r="EG27"/>
      <c r="EH27"/>
      <c r="EI27"/>
      <c r="EJ27"/>
    </row>
    <row r="28" spans="1:140" ht="14.25" customHeight="1" x14ac:dyDescent="0.2">
      <c r="A28" s="1" t="s">
        <v>169</v>
      </c>
      <c r="B28" s="1" t="s">
        <v>134</v>
      </c>
      <c r="C28" s="1" t="s">
        <v>129</v>
      </c>
      <c r="D28" s="1">
        <v>18.900010000000002</v>
      </c>
      <c r="E28" s="1">
        <v>12.645580000000001</v>
      </c>
      <c r="F28" s="1">
        <v>66.907790000000006</v>
      </c>
      <c r="G28" s="1">
        <v>0.18131</v>
      </c>
      <c r="H28" s="1">
        <v>251.55224000000001</v>
      </c>
      <c r="I28" s="1">
        <v>4024.8357799999999</v>
      </c>
      <c r="J28" s="3">
        <v>6.4351851851851853E-3</v>
      </c>
      <c r="K28" s="3">
        <v>0.1030787037037037</v>
      </c>
      <c r="L28" s="1">
        <v>428.75211999999999</v>
      </c>
      <c r="M28" s="1">
        <v>26.79701</v>
      </c>
      <c r="N28" s="1">
        <v>8.6510200000000008</v>
      </c>
      <c r="O28" s="1">
        <v>2.8882099999999999</v>
      </c>
      <c r="P28" s="1">
        <v>428.75211999999999</v>
      </c>
      <c r="Q28" s="1">
        <v>1614.9088099999999</v>
      </c>
      <c r="R28" s="3">
        <v>3.5879629629629629E-4</v>
      </c>
      <c r="S28" s="1">
        <v>103.17148</v>
      </c>
      <c r="T28" s="1">
        <v>17</v>
      </c>
      <c r="U28" s="1">
        <v>8</v>
      </c>
      <c r="V28" s="3">
        <v>9.2592592592592588E-5</v>
      </c>
      <c r="W28" s="1">
        <v>25.32808</v>
      </c>
      <c r="X28" s="1">
        <v>0</v>
      </c>
      <c r="Y28" s="1">
        <v>0.37182999999999999</v>
      </c>
      <c r="Z28" s="3">
        <v>0</v>
      </c>
      <c r="AA28" s="1">
        <v>11</v>
      </c>
      <c r="AB28" s="1">
        <v>14.65442</v>
      </c>
      <c r="AC28" s="3">
        <v>1.0416666666666667E-4</v>
      </c>
      <c r="AD28" s="1">
        <v>11</v>
      </c>
      <c r="AE28" s="1">
        <v>1</v>
      </c>
      <c r="AF28" s="1">
        <v>0.37182999999999999</v>
      </c>
      <c r="AG28" s="3">
        <v>0</v>
      </c>
      <c r="AH28" s="1">
        <v>1</v>
      </c>
      <c r="AI28" s="1">
        <v>0</v>
      </c>
      <c r="AJ28" s="1">
        <v>0</v>
      </c>
      <c r="AK28" s="3">
        <v>0</v>
      </c>
      <c r="AL28" s="1">
        <v>0</v>
      </c>
      <c r="AM28" s="1">
        <v>3.85466</v>
      </c>
      <c r="AN28" s="1">
        <v>-3.5037600000000002</v>
      </c>
      <c r="AO28" s="1">
        <v>17.902450000000002</v>
      </c>
      <c r="AP28" s="1">
        <v>2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1710.0392099999999</v>
      </c>
      <c r="AZ28" s="1">
        <v>37</v>
      </c>
      <c r="BA28" s="1">
        <v>37</v>
      </c>
      <c r="BB28" s="1">
        <v>9</v>
      </c>
      <c r="BC28" s="1">
        <v>9</v>
      </c>
      <c r="BD28" s="1">
        <v>8</v>
      </c>
      <c r="BE28" s="1">
        <v>1</v>
      </c>
      <c r="BF28" s="1">
        <v>17.902450000000002</v>
      </c>
      <c r="BG28" s="1">
        <v>0</v>
      </c>
      <c r="BH28" s="1">
        <v>0</v>
      </c>
      <c r="BI28" s="1">
        <v>0</v>
      </c>
      <c r="BJ28" s="1">
        <v>2</v>
      </c>
      <c r="BK28" s="1">
        <v>0</v>
      </c>
      <c r="BL28" s="1">
        <v>139.9162</v>
      </c>
      <c r="BM28" s="1">
        <v>0</v>
      </c>
      <c r="BN28" s="3">
        <v>0.1030787037037037</v>
      </c>
      <c r="BO28" s="1" t="s">
        <v>130</v>
      </c>
      <c r="BP28" s="1" t="s">
        <v>130</v>
      </c>
      <c r="BQ28" s="1" t="s">
        <v>130</v>
      </c>
      <c r="BR28" s="1">
        <v>7.9764600000000003</v>
      </c>
      <c r="BS28" s="1">
        <v>188</v>
      </c>
      <c r="BT28" s="1">
        <v>6.4096299999999999</v>
      </c>
      <c r="BU28" s="1">
        <v>29</v>
      </c>
      <c r="BV28" s="1">
        <v>5.3521700000000001</v>
      </c>
      <c r="BW28" s="1">
        <v>19.118480000000002</v>
      </c>
      <c r="BX28" s="1">
        <v>0</v>
      </c>
      <c r="BY28" s="1">
        <v>9</v>
      </c>
      <c r="BZ28" s="1">
        <v>8.9972100000000008</v>
      </c>
      <c r="CA28" s="1">
        <v>13.55429</v>
      </c>
      <c r="CB28" s="1">
        <v>4.4401299999999999</v>
      </c>
      <c r="CC28" s="1">
        <v>2</v>
      </c>
      <c r="CD28" s="1" t="s">
        <v>130</v>
      </c>
      <c r="CE28" s="1" t="s">
        <v>130</v>
      </c>
      <c r="CF28" s="1" t="s">
        <v>130</v>
      </c>
      <c r="CG28" s="1">
        <v>0</v>
      </c>
      <c r="CH28" s="1" t="s">
        <v>130</v>
      </c>
      <c r="CI28" s="1" t="s">
        <v>130</v>
      </c>
      <c r="CJ28" s="1" t="s">
        <v>130</v>
      </c>
      <c r="CK28" s="1">
        <v>0</v>
      </c>
      <c r="CL28" s="1" t="s">
        <v>130</v>
      </c>
      <c r="CM28" s="1" t="s">
        <v>130</v>
      </c>
      <c r="CN28" s="1" t="s">
        <v>130</v>
      </c>
      <c r="CO28" s="1">
        <v>0</v>
      </c>
      <c r="CP28" s="1">
        <v>7.9617000000000004</v>
      </c>
      <c r="CQ28" s="1">
        <v>189</v>
      </c>
      <c r="CR28" s="1">
        <v>6.4096299999999999</v>
      </c>
      <c r="CS28" s="1">
        <v>29</v>
      </c>
      <c r="CT28" s="1">
        <v>5.3521700000000001</v>
      </c>
      <c r="CU28" s="1">
        <v>19.118480000000002</v>
      </c>
      <c r="CV28" s="1">
        <v>0</v>
      </c>
      <c r="CW28" s="1">
        <v>9</v>
      </c>
      <c r="CX28" s="1">
        <v>8.9972100000000008</v>
      </c>
      <c r="CY28" s="1">
        <v>13.55429</v>
      </c>
      <c r="CZ28" s="1">
        <v>4.4401299999999999</v>
      </c>
      <c r="DA28" s="1">
        <v>2</v>
      </c>
      <c r="DB28" s="1" t="s">
        <v>130</v>
      </c>
      <c r="DC28" s="1" t="s">
        <v>130</v>
      </c>
      <c r="DD28" s="1" t="s">
        <v>130</v>
      </c>
      <c r="DE28" s="1">
        <v>0</v>
      </c>
      <c r="DF28" s="1" t="s">
        <v>130</v>
      </c>
      <c r="DG28" s="1" t="s">
        <v>130</v>
      </c>
      <c r="DH28" s="1" t="s">
        <v>130</v>
      </c>
      <c r="DI28" s="1">
        <v>0</v>
      </c>
      <c r="DJ28" s="1" t="s">
        <v>130</v>
      </c>
      <c r="DK28" s="1" t="s">
        <v>130</v>
      </c>
      <c r="DL28" s="1" t="s">
        <v>130</v>
      </c>
      <c r="DM28" s="1">
        <v>0</v>
      </c>
      <c r="DN28" s="1">
        <v>0</v>
      </c>
      <c r="DO28" s="1">
        <v>11.522640000000001</v>
      </c>
      <c r="DP28" s="1">
        <v>4.0123600000000001</v>
      </c>
      <c r="DQ28" s="1">
        <v>26.071739999999998</v>
      </c>
      <c r="DR28" s="1">
        <v>9</v>
      </c>
      <c r="DS28" s="1">
        <v>3.73176</v>
      </c>
      <c r="DT28" s="1">
        <v>0.44479999999999997</v>
      </c>
      <c r="DU28" s="1">
        <v>1725.40464</v>
      </c>
      <c r="DV28" s="1">
        <v>138.04832999999999</v>
      </c>
      <c r="DW28" s="1">
        <v>37</v>
      </c>
      <c r="DX28" s="1">
        <v>0</v>
      </c>
      <c r="DY28" s="3">
        <v>0.1030787037037037</v>
      </c>
      <c r="DZ28" t="str">
        <f>IF(GPS_Table[[#This Row],[Max Vel (% Max)]] &gt;= 90, "YES", "NO")</f>
        <v>NO</v>
      </c>
    </row>
    <row r="29" spans="1:140" ht="14.25" customHeight="1" x14ac:dyDescent="0.2">
      <c r="A29" s="1" t="s">
        <v>170</v>
      </c>
      <c r="B29" s="1" t="s">
        <v>134</v>
      </c>
      <c r="C29" s="1" t="s">
        <v>129</v>
      </c>
      <c r="D29" s="1">
        <v>18</v>
      </c>
      <c r="E29" s="1">
        <v>14.423489999999999</v>
      </c>
      <c r="F29" s="1">
        <v>80.130510000000001</v>
      </c>
      <c r="G29" s="1">
        <v>0.21052000000000001</v>
      </c>
      <c r="H29" s="1">
        <v>322.59053</v>
      </c>
      <c r="I29" s="1">
        <v>5161.4485400000003</v>
      </c>
      <c r="J29" s="3">
        <v>6.4351851851851853E-3</v>
      </c>
      <c r="K29" s="3">
        <v>0.1030787037037037</v>
      </c>
      <c r="L29" s="1">
        <v>392.96487999999999</v>
      </c>
      <c r="M29" s="1">
        <v>24.560300000000002</v>
      </c>
      <c r="N29" s="1">
        <v>5.6550500000000001</v>
      </c>
      <c r="O29" s="1">
        <v>2.6471300000000002</v>
      </c>
      <c r="P29" s="1">
        <v>392.96487999999999</v>
      </c>
      <c r="Q29" s="1">
        <v>1875.1314600000001</v>
      </c>
      <c r="R29" s="3">
        <v>6.8287037037037036E-4</v>
      </c>
      <c r="S29" s="1">
        <v>193.35083</v>
      </c>
      <c r="T29" s="1">
        <v>30</v>
      </c>
      <c r="U29" s="1">
        <v>6</v>
      </c>
      <c r="V29" s="3">
        <v>5.7870370370370373E-5</v>
      </c>
      <c r="W29" s="1">
        <v>33.595799999999997</v>
      </c>
      <c r="X29" s="1">
        <v>0</v>
      </c>
      <c r="Y29" s="1">
        <v>0</v>
      </c>
      <c r="Z29" s="3">
        <v>0</v>
      </c>
      <c r="AA29" s="1">
        <v>15</v>
      </c>
      <c r="AB29" s="1">
        <v>25.26247</v>
      </c>
      <c r="AC29" s="3">
        <v>3.8194444444444446E-4</v>
      </c>
      <c r="AD29" s="1">
        <v>15</v>
      </c>
      <c r="AE29" s="1">
        <v>2</v>
      </c>
      <c r="AF29" s="1">
        <v>2.38408</v>
      </c>
      <c r="AG29" s="3">
        <v>0</v>
      </c>
      <c r="AH29" s="1">
        <v>2</v>
      </c>
      <c r="AI29" s="1">
        <v>0</v>
      </c>
      <c r="AJ29" s="1">
        <v>0</v>
      </c>
      <c r="AK29" s="3">
        <v>0</v>
      </c>
      <c r="AL29" s="1">
        <v>0</v>
      </c>
      <c r="AM29" s="1">
        <v>3.9257499999999999</v>
      </c>
      <c r="AN29" s="1">
        <v>-3.70661</v>
      </c>
      <c r="AO29" s="1">
        <v>79.232290000000006</v>
      </c>
      <c r="AP29" s="1">
        <v>8</v>
      </c>
      <c r="AQ29" s="1">
        <v>7.9177600000000004</v>
      </c>
      <c r="AR29" s="1">
        <v>1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3028.7495100000001</v>
      </c>
      <c r="AZ29" s="1">
        <v>53</v>
      </c>
      <c r="BA29" s="1">
        <v>53</v>
      </c>
      <c r="BB29" s="1">
        <v>8</v>
      </c>
      <c r="BC29" s="1">
        <v>8</v>
      </c>
      <c r="BD29" s="1">
        <v>6</v>
      </c>
      <c r="BE29" s="1">
        <v>2</v>
      </c>
      <c r="BF29" s="1">
        <v>87.150049999999993</v>
      </c>
      <c r="BG29" s="1">
        <v>7.9177600000000004</v>
      </c>
      <c r="BH29" s="1">
        <v>0</v>
      </c>
      <c r="BI29" s="1">
        <v>0</v>
      </c>
      <c r="BJ29" s="1">
        <v>9</v>
      </c>
      <c r="BK29" s="1">
        <v>0</v>
      </c>
      <c r="BL29" s="1">
        <v>178.16327999999999</v>
      </c>
      <c r="BM29" s="1">
        <v>0</v>
      </c>
      <c r="BN29" s="3">
        <v>0.1030787037037037</v>
      </c>
      <c r="BO29" s="1" t="s">
        <v>130</v>
      </c>
      <c r="BP29" s="1" t="s">
        <v>130</v>
      </c>
      <c r="BQ29" s="1" t="s">
        <v>130</v>
      </c>
      <c r="BR29" s="1">
        <v>11.77816</v>
      </c>
      <c r="BS29" s="1">
        <v>229</v>
      </c>
      <c r="BT29" s="1">
        <v>11.508620000000001</v>
      </c>
      <c r="BU29" s="1">
        <v>53</v>
      </c>
      <c r="BV29" s="1">
        <v>8.4615200000000002</v>
      </c>
      <c r="BW29" s="1">
        <v>27.483709999999999</v>
      </c>
      <c r="BX29" s="1">
        <v>0</v>
      </c>
      <c r="BY29" s="1">
        <v>25</v>
      </c>
      <c r="BZ29" s="1">
        <v>7.3643900000000002</v>
      </c>
      <c r="CA29" s="1">
        <v>16.836200000000002</v>
      </c>
      <c r="CB29" s="1">
        <v>0</v>
      </c>
      <c r="CC29" s="1">
        <v>7</v>
      </c>
      <c r="CD29" s="1">
        <v>6.5934499999999998</v>
      </c>
      <c r="CE29" s="1">
        <v>6.5934499999999998</v>
      </c>
      <c r="CF29" s="1">
        <v>6.5934499999999998</v>
      </c>
      <c r="CG29" s="1">
        <v>1</v>
      </c>
      <c r="CH29" s="1" t="s">
        <v>130</v>
      </c>
      <c r="CI29" s="1" t="s">
        <v>130</v>
      </c>
      <c r="CJ29" s="1" t="s">
        <v>130</v>
      </c>
      <c r="CK29" s="1">
        <v>0</v>
      </c>
      <c r="CL29" s="1" t="s">
        <v>130</v>
      </c>
      <c r="CM29" s="1" t="s">
        <v>130</v>
      </c>
      <c r="CN29" s="1" t="s">
        <v>130</v>
      </c>
      <c r="CO29" s="1">
        <v>0</v>
      </c>
      <c r="CP29" s="1">
        <v>11.77816</v>
      </c>
      <c r="CQ29" s="1">
        <v>229</v>
      </c>
      <c r="CR29" s="1">
        <v>11.508620000000001</v>
      </c>
      <c r="CS29" s="1">
        <v>53</v>
      </c>
      <c r="CT29" s="1">
        <v>8.4615200000000002</v>
      </c>
      <c r="CU29" s="1">
        <v>27.483709999999999</v>
      </c>
      <c r="CV29" s="1">
        <v>0</v>
      </c>
      <c r="CW29" s="1">
        <v>25</v>
      </c>
      <c r="CX29" s="1">
        <v>7.3643900000000002</v>
      </c>
      <c r="CY29" s="1">
        <v>16.836200000000002</v>
      </c>
      <c r="CZ29" s="1">
        <v>0</v>
      </c>
      <c r="DA29" s="1">
        <v>7</v>
      </c>
      <c r="DB29" s="1">
        <v>6.5934499999999998</v>
      </c>
      <c r="DC29" s="1">
        <v>6.5934499999999998</v>
      </c>
      <c r="DD29" s="1">
        <v>6.5934499999999998</v>
      </c>
      <c r="DE29" s="1">
        <v>1</v>
      </c>
      <c r="DF29" s="1" t="s">
        <v>130</v>
      </c>
      <c r="DG29" s="1" t="s">
        <v>130</v>
      </c>
      <c r="DH29" s="1" t="s">
        <v>130</v>
      </c>
      <c r="DI29" s="1">
        <v>0</v>
      </c>
      <c r="DJ29" s="1" t="s">
        <v>130</v>
      </c>
      <c r="DK29" s="1" t="s">
        <v>130</v>
      </c>
      <c r="DL29" s="1" t="s">
        <v>130</v>
      </c>
      <c r="DM29" s="1">
        <v>0</v>
      </c>
      <c r="DN29" s="1">
        <v>0</v>
      </c>
      <c r="DO29" s="1">
        <v>17.526219999999999</v>
      </c>
      <c r="DP29" s="1">
        <v>3.6329600000000002</v>
      </c>
      <c r="DQ29" s="1">
        <v>35.979880000000001</v>
      </c>
      <c r="DR29" s="1">
        <v>8</v>
      </c>
      <c r="DS29" s="1">
        <v>9.6700800000000005</v>
      </c>
      <c r="DT29" s="1">
        <v>1.68848</v>
      </c>
      <c r="DU29" s="1">
        <v>3018.3399199999999</v>
      </c>
      <c r="DV29" s="1">
        <v>134.79</v>
      </c>
      <c r="DW29" s="1">
        <v>53</v>
      </c>
      <c r="DX29" s="1">
        <v>0</v>
      </c>
      <c r="DY29" s="3">
        <v>0.1030787037037037</v>
      </c>
      <c r="DZ29" t="str">
        <f>IF(GPS_Table[[#This Row],[Max Vel (% Max)]] &gt;= 90, "YES", "NO")</f>
        <v>NO</v>
      </c>
    </row>
    <row r="30" spans="1:140" ht="14.25" customHeight="1" x14ac:dyDescent="0.2">
      <c r="A30" s="1" t="s">
        <v>171</v>
      </c>
      <c r="B30" s="1" t="s">
        <v>131</v>
      </c>
      <c r="C30" s="1" t="s">
        <v>129</v>
      </c>
      <c r="D30" s="1">
        <v>16.28</v>
      </c>
      <c r="E30" s="1">
        <v>11.682079999999999</v>
      </c>
      <c r="F30" s="1">
        <v>71.757279999999994</v>
      </c>
      <c r="G30" s="1">
        <v>0.20724999999999999</v>
      </c>
      <c r="H30" s="1">
        <v>271.23541</v>
      </c>
      <c r="I30" s="1">
        <v>4339.7665299999999</v>
      </c>
      <c r="J30" s="3">
        <v>6.4351851851851853E-3</v>
      </c>
      <c r="K30" s="3">
        <v>0.1030787037037037</v>
      </c>
      <c r="L30" s="1">
        <v>364.34712999999999</v>
      </c>
      <c r="M30" s="1">
        <v>22.771699999999999</v>
      </c>
      <c r="N30" s="1">
        <v>4.9406600000000003</v>
      </c>
      <c r="O30" s="1">
        <v>2.4543599999999999</v>
      </c>
      <c r="P30" s="1">
        <v>364.34712999999999</v>
      </c>
      <c r="Q30" s="1">
        <v>1845.9839999999999</v>
      </c>
      <c r="R30" s="3">
        <v>3.1250000000000001E-4</v>
      </c>
      <c r="S30" s="1">
        <v>87.795280000000005</v>
      </c>
      <c r="T30" s="1">
        <v>13</v>
      </c>
      <c r="U30" s="1">
        <v>1</v>
      </c>
      <c r="V30" s="3">
        <v>0</v>
      </c>
      <c r="W30" s="1">
        <v>2.9965000000000002</v>
      </c>
      <c r="X30" s="1">
        <v>0</v>
      </c>
      <c r="Y30" s="1">
        <v>0</v>
      </c>
      <c r="Z30" s="3">
        <v>0</v>
      </c>
      <c r="AA30" s="1">
        <v>8</v>
      </c>
      <c r="AB30" s="1">
        <v>9.1644799999999993</v>
      </c>
      <c r="AC30" s="3">
        <v>9.2592592592592588E-5</v>
      </c>
      <c r="AD30" s="1">
        <v>8</v>
      </c>
      <c r="AE30" s="1">
        <v>0</v>
      </c>
      <c r="AF30" s="1">
        <v>0</v>
      </c>
      <c r="AG30" s="3">
        <v>0</v>
      </c>
      <c r="AH30" s="1">
        <v>0</v>
      </c>
      <c r="AI30" s="1">
        <v>0</v>
      </c>
      <c r="AJ30" s="1">
        <v>0</v>
      </c>
      <c r="AK30" s="3">
        <v>0</v>
      </c>
      <c r="AL30" s="1">
        <v>0</v>
      </c>
      <c r="AM30" s="1">
        <v>3.5112199999999998</v>
      </c>
      <c r="AN30" s="1">
        <v>-2.8762300000000001</v>
      </c>
      <c r="AO30" s="1">
        <v>21.347329999999999</v>
      </c>
      <c r="AP30" s="1">
        <v>3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2266.1007500000001</v>
      </c>
      <c r="AZ30" s="1">
        <v>22</v>
      </c>
      <c r="BA30" s="1">
        <v>22</v>
      </c>
      <c r="BB30" s="1">
        <v>1</v>
      </c>
      <c r="BC30" s="1">
        <v>1</v>
      </c>
      <c r="BD30" s="1">
        <v>1</v>
      </c>
      <c r="BE30" s="1">
        <v>0</v>
      </c>
      <c r="BF30" s="1">
        <v>21.347329999999999</v>
      </c>
      <c r="BG30" s="1">
        <v>0</v>
      </c>
      <c r="BH30" s="1">
        <v>0</v>
      </c>
      <c r="BI30" s="1">
        <v>0</v>
      </c>
      <c r="BJ30" s="1">
        <v>3</v>
      </c>
      <c r="BK30" s="1">
        <v>0</v>
      </c>
      <c r="BL30" s="1">
        <v>152.83519000000001</v>
      </c>
      <c r="BM30" s="1">
        <v>0</v>
      </c>
      <c r="BN30" s="3">
        <v>0.1030787037037037</v>
      </c>
      <c r="BO30" s="1" t="s">
        <v>130</v>
      </c>
      <c r="BP30" s="1" t="s">
        <v>130</v>
      </c>
      <c r="BQ30" s="1" t="s">
        <v>130</v>
      </c>
      <c r="BR30" s="1">
        <v>7.3996000000000004</v>
      </c>
      <c r="BS30" s="1">
        <v>294</v>
      </c>
      <c r="BT30" s="1">
        <v>7.3046699999999998</v>
      </c>
      <c r="BU30" s="1">
        <v>28</v>
      </c>
      <c r="BV30" s="1">
        <v>7.0367699999999997</v>
      </c>
      <c r="BW30" s="1">
        <v>24.106480000000001</v>
      </c>
      <c r="BX30" s="1">
        <v>0</v>
      </c>
      <c r="BY30" s="1">
        <v>8</v>
      </c>
      <c r="BZ30" s="1">
        <v>5.4910100000000002</v>
      </c>
      <c r="CA30" s="1">
        <v>6.3430099999999996</v>
      </c>
      <c r="CB30" s="1">
        <v>0</v>
      </c>
      <c r="CC30" s="1">
        <v>3</v>
      </c>
      <c r="CD30" s="1" t="s">
        <v>130</v>
      </c>
      <c r="CE30" s="1" t="s">
        <v>130</v>
      </c>
      <c r="CF30" s="1" t="s">
        <v>130</v>
      </c>
      <c r="CG30" s="1">
        <v>0</v>
      </c>
      <c r="CH30" s="1" t="s">
        <v>130</v>
      </c>
      <c r="CI30" s="1" t="s">
        <v>130</v>
      </c>
      <c r="CJ30" s="1" t="s">
        <v>130</v>
      </c>
      <c r="CK30" s="1">
        <v>0</v>
      </c>
      <c r="CL30" s="1" t="s">
        <v>130</v>
      </c>
      <c r="CM30" s="1" t="s">
        <v>130</v>
      </c>
      <c r="CN30" s="1" t="s">
        <v>130</v>
      </c>
      <c r="CO30" s="1">
        <v>0</v>
      </c>
      <c r="CP30" s="1">
        <v>7.3393300000000004</v>
      </c>
      <c r="CQ30" s="1">
        <v>298</v>
      </c>
      <c r="CR30" s="1">
        <v>7.3046699999999998</v>
      </c>
      <c r="CS30" s="1">
        <v>28</v>
      </c>
      <c r="CT30" s="1">
        <v>7.0367699999999997</v>
      </c>
      <c r="CU30" s="1">
        <v>24.106480000000001</v>
      </c>
      <c r="CV30" s="1">
        <v>0</v>
      </c>
      <c r="CW30" s="1">
        <v>8</v>
      </c>
      <c r="CX30" s="1">
        <v>5.4910100000000002</v>
      </c>
      <c r="CY30" s="1">
        <v>6.3430099999999996</v>
      </c>
      <c r="CZ30" s="1">
        <v>0</v>
      </c>
      <c r="DA30" s="1">
        <v>3</v>
      </c>
      <c r="DB30" s="1" t="s">
        <v>130</v>
      </c>
      <c r="DC30" s="1" t="s">
        <v>130</v>
      </c>
      <c r="DD30" s="1" t="s">
        <v>130</v>
      </c>
      <c r="DE30" s="1">
        <v>0</v>
      </c>
      <c r="DF30" s="1" t="s">
        <v>130</v>
      </c>
      <c r="DG30" s="1" t="s">
        <v>130</v>
      </c>
      <c r="DH30" s="1" t="s">
        <v>130</v>
      </c>
      <c r="DI30" s="1">
        <v>0</v>
      </c>
      <c r="DJ30" s="1" t="s">
        <v>130</v>
      </c>
      <c r="DK30" s="1" t="s">
        <v>130</v>
      </c>
      <c r="DL30" s="1" t="s">
        <v>130</v>
      </c>
      <c r="DM30" s="1">
        <v>0</v>
      </c>
      <c r="DN30" s="1">
        <v>0</v>
      </c>
      <c r="DO30" s="1">
        <v>2.4030999999999998</v>
      </c>
      <c r="DP30" s="1">
        <v>4.2536500000000004</v>
      </c>
      <c r="DQ30" s="1">
        <v>2.9965000000000002</v>
      </c>
      <c r="DR30" s="1">
        <v>1</v>
      </c>
      <c r="DS30" s="1">
        <v>3.0190999999999999</v>
      </c>
      <c r="DT30" s="1">
        <v>0.4919</v>
      </c>
      <c r="DU30" s="1">
        <v>2258.37707</v>
      </c>
      <c r="DV30" s="1">
        <v>139.66166999999999</v>
      </c>
      <c r="DW30" s="1">
        <v>22</v>
      </c>
      <c r="DX30" s="1">
        <v>0</v>
      </c>
      <c r="DY30" s="3">
        <v>0.1030787037037037</v>
      </c>
      <c r="DZ30" t="str">
        <f>IF(GPS_Table[[#This Row],[Max Vel (% Max)]] &gt;= 90, "YES", "NO")</f>
        <v>NO</v>
      </c>
    </row>
    <row r="31" spans="1:140" ht="14.25" customHeight="1" x14ac:dyDescent="0.2">
      <c r="A31" s="1" t="s">
        <v>172</v>
      </c>
      <c r="B31" s="1" t="s">
        <v>131</v>
      </c>
      <c r="C31" s="1" t="s">
        <v>129</v>
      </c>
      <c r="D31" s="1">
        <v>17.3</v>
      </c>
      <c r="E31" s="1">
        <v>10.062760000000001</v>
      </c>
      <c r="F31" s="1">
        <v>58.16628</v>
      </c>
      <c r="G31" s="1">
        <v>0.21113999999999999</v>
      </c>
      <c r="H31" s="1">
        <v>219.13236000000001</v>
      </c>
      <c r="I31" s="1">
        <v>3506.1177499999999</v>
      </c>
      <c r="J31" s="3">
        <v>6.4351851851851853E-3</v>
      </c>
      <c r="K31" s="3">
        <v>0.1030787037037037</v>
      </c>
      <c r="L31" s="1">
        <v>324.14355999999998</v>
      </c>
      <c r="M31" s="1">
        <v>20.258970000000001</v>
      </c>
      <c r="N31" s="1">
        <v>5.1081700000000003</v>
      </c>
      <c r="O31" s="1">
        <v>2.1835300000000002</v>
      </c>
      <c r="P31" s="1">
        <v>324.14355999999998</v>
      </c>
      <c r="Q31" s="1">
        <v>1880.5998099999999</v>
      </c>
      <c r="R31" s="3">
        <v>3.4722222222222224E-4</v>
      </c>
      <c r="S31" s="1">
        <v>46.91601</v>
      </c>
      <c r="T31" s="1">
        <v>5</v>
      </c>
      <c r="U31" s="1">
        <v>0</v>
      </c>
      <c r="V31" s="3">
        <v>0</v>
      </c>
      <c r="W31" s="1">
        <v>0</v>
      </c>
      <c r="X31" s="1">
        <v>0</v>
      </c>
      <c r="Y31" s="1">
        <v>0</v>
      </c>
      <c r="Z31" s="3">
        <v>0</v>
      </c>
      <c r="AA31" s="1">
        <v>4</v>
      </c>
      <c r="AB31" s="1">
        <v>5.0524899999999997</v>
      </c>
      <c r="AC31" s="3">
        <v>4.6296296296296294E-5</v>
      </c>
      <c r="AD31" s="1">
        <v>4</v>
      </c>
      <c r="AE31" s="1">
        <v>0</v>
      </c>
      <c r="AF31" s="1">
        <v>0</v>
      </c>
      <c r="AG31" s="3">
        <v>0</v>
      </c>
      <c r="AH31" s="1">
        <v>0</v>
      </c>
      <c r="AI31" s="1">
        <v>0</v>
      </c>
      <c r="AJ31" s="1">
        <v>0</v>
      </c>
      <c r="AK31" s="3">
        <v>0</v>
      </c>
      <c r="AL31" s="1">
        <v>0</v>
      </c>
      <c r="AM31" s="1">
        <v>2.7326700000000002</v>
      </c>
      <c r="AN31" s="1">
        <v>-2.99579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1383.88456</v>
      </c>
      <c r="AZ31" s="1">
        <v>9</v>
      </c>
      <c r="BA31" s="1">
        <v>9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128.55971</v>
      </c>
      <c r="BM31" s="1">
        <v>0</v>
      </c>
      <c r="BN31" s="3">
        <v>0.1030787037037037</v>
      </c>
      <c r="BO31" s="1" t="s">
        <v>130</v>
      </c>
      <c r="BP31" s="1" t="s">
        <v>130</v>
      </c>
      <c r="BQ31" s="1" t="s">
        <v>130</v>
      </c>
      <c r="BR31" s="1">
        <v>4.8502099999999997</v>
      </c>
      <c r="BS31" s="1">
        <v>222</v>
      </c>
      <c r="BT31" s="1">
        <v>7.88096</v>
      </c>
      <c r="BU31" s="1">
        <v>11</v>
      </c>
      <c r="BV31" s="1">
        <v>7.7480799999999999</v>
      </c>
      <c r="BW31" s="1">
        <v>14.959490000000001</v>
      </c>
      <c r="BX31" s="1">
        <v>2.8584499999999999</v>
      </c>
      <c r="BY31" s="1">
        <v>4</v>
      </c>
      <c r="BZ31" s="1" t="s">
        <v>130</v>
      </c>
      <c r="CA31" s="1" t="s">
        <v>130</v>
      </c>
      <c r="CB31" s="1" t="s">
        <v>130</v>
      </c>
      <c r="CC31" s="1">
        <v>0</v>
      </c>
      <c r="CD31" s="1" t="s">
        <v>130</v>
      </c>
      <c r="CE31" s="1" t="s">
        <v>130</v>
      </c>
      <c r="CF31" s="1" t="s">
        <v>130</v>
      </c>
      <c r="CG31" s="1">
        <v>0</v>
      </c>
      <c r="CH31" s="1" t="s">
        <v>130</v>
      </c>
      <c r="CI31" s="1" t="s">
        <v>130</v>
      </c>
      <c r="CJ31" s="1" t="s">
        <v>130</v>
      </c>
      <c r="CK31" s="1">
        <v>0</v>
      </c>
      <c r="CL31" s="1" t="s">
        <v>130</v>
      </c>
      <c r="CM31" s="1" t="s">
        <v>130</v>
      </c>
      <c r="CN31" s="1" t="s">
        <v>130</v>
      </c>
      <c r="CO31" s="1">
        <v>0</v>
      </c>
      <c r="CP31" s="1">
        <v>4.8456999999999999</v>
      </c>
      <c r="CQ31" s="1">
        <v>222</v>
      </c>
      <c r="CR31" s="1">
        <v>7.9409099999999997</v>
      </c>
      <c r="CS31" s="1">
        <v>11</v>
      </c>
      <c r="CT31" s="1">
        <v>7.7480799999999999</v>
      </c>
      <c r="CU31" s="1">
        <v>14.959490000000001</v>
      </c>
      <c r="CV31" s="1">
        <v>2.8584499999999999</v>
      </c>
      <c r="CW31" s="1">
        <v>4</v>
      </c>
      <c r="CX31" s="1" t="s">
        <v>130</v>
      </c>
      <c r="CY31" s="1" t="s">
        <v>130</v>
      </c>
      <c r="CZ31" s="1" t="s">
        <v>130</v>
      </c>
      <c r="DA31" s="1">
        <v>0</v>
      </c>
      <c r="DB31" s="1" t="s">
        <v>130</v>
      </c>
      <c r="DC31" s="1" t="s">
        <v>130</v>
      </c>
      <c r="DD31" s="1" t="s">
        <v>130</v>
      </c>
      <c r="DE31" s="1">
        <v>0</v>
      </c>
      <c r="DF31" s="1" t="s">
        <v>130</v>
      </c>
      <c r="DG31" s="1" t="s">
        <v>130</v>
      </c>
      <c r="DH31" s="1" t="s">
        <v>130</v>
      </c>
      <c r="DI31" s="1">
        <v>0</v>
      </c>
      <c r="DJ31" s="1" t="s">
        <v>130</v>
      </c>
      <c r="DK31" s="1" t="s">
        <v>130</v>
      </c>
      <c r="DL31" s="1" t="s">
        <v>130</v>
      </c>
      <c r="DM31" s="1">
        <v>0</v>
      </c>
      <c r="DN31" s="1">
        <v>0</v>
      </c>
      <c r="DO31" s="1">
        <v>0</v>
      </c>
      <c r="DP31" s="1">
        <v>5.3637699999999997</v>
      </c>
      <c r="DQ31" s="1">
        <v>0</v>
      </c>
      <c r="DR31" s="1">
        <v>0</v>
      </c>
      <c r="DS31" s="1">
        <v>6.1701100000000002</v>
      </c>
      <c r="DT31" s="1">
        <v>0</v>
      </c>
      <c r="DU31" s="1">
        <v>1376.6950899999999</v>
      </c>
      <c r="DV31" s="1">
        <v>141.345</v>
      </c>
      <c r="DW31" s="1">
        <v>9</v>
      </c>
      <c r="DX31" s="1">
        <v>0</v>
      </c>
      <c r="DY31" s="3">
        <v>0.1030787037037037</v>
      </c>
      <c r="DZ31" t="str">
        <f>IF(GPS_Table[[#This Row],[Max Vel (% Max)]] &gt;= 90, "YES", "NO")</f>
        <v>NO</v>
      </c>
    </row>
    <row r="32" spans="1:140" s="4" customFormat="1" ht="14.25" customHeight="1" x14ac:dyDescent="0.2">
      <c r="A32" s="1" t="s">
        <v>173</v>
      </c>
      <c r="B32" s="1" t="s">
        <v>131</v>
      </c>
      <c r="C32" s="1" t="s">
        <v>129</v>
      </c>
      <c r="D32" s="1">
        <v>17</v>
      </c>
      <c r="E32" s="1">
        <v>9.6544500000000006</v>
      </c>
      <c r="F32" s="1">
        <v>56.790909999999997</v>
      </c>
      <c r="G32" s="1">
        <v>0.18895000000000001</v>
      </c>
      <c r="H32" s="1">
        <v>233.18069</v>
      </c>
      <c r="I32" s="1">
        <v>3730.89102</v>
      </c>
      <c r="J32" s="3">
        <v>6.4351851851851853E-3</v>
      </c>
      <c r="K32" s="3">
        <v>0.1030787037037037</v>
      </c>
      <c r="L32" s="1">
        <v>368.65895</v>
      </c>
      <c r="M32" s="1">
        <v>23.041180000000001</v>
      </c>
      <c r="N32" s="1">
        <v>4.9626099999999997</v>
      </c>
      <c r="O32" s="1">
        <v>2.4834000000000001</v>
      </c>
      <c r="P32" s="1">
        <v>368.65895</v>
      </c>
      <c r="Q32" s="1">
        <v>1682.98055</v>
      </c>
      <c r="R32" s="3">
        <v>2.0833333333333335E-4</v>
      </c>
      <c r="S32" s="1">
        <v>30.828959999999999</v>
      </c>
      <c r="T32" s="1">
        <v>3</v>
      </c>
      <c r="U32" s="1">
        <v>0</v>
      </c>
      <c r="V32" s="3">
        <v>0</v>
      </c>
      <c r="W32" s="1">
        <v>0</v>
      </c>
      <c r="X32" s="1">
        <v>0</v>
      </c>
      <c r="Y32" s="1">
        <v>0</v>
      </c>
      <c r="Z32" s="3">
        <v>0</v>
      </c>
      <c r="AA32" s="1">
        <v>2</v>
      </c>
      <c r="AB32" s="1">
        <v>0.89676</v>
      </c>
      <c r="AC32" s="3">
        <v>2.3148148148148147E-5</v>
      </c>
      <c r="AD32" s="1">
        <v>2</v>
      </c>
      <c r="AE32" s="1">
        <v>0</v>
      </c>
      <c r="AF32" s="1">
        <v>0</v>
      </c>
      <c r="AG32" s="3">
        <v>0</v>
      </c>
      <c r="AH32" s="1">
        <v>0</v>
      </c>
      <c r="AI32" s="1">
        <v>0</v>
      </c>
      <c r="AJ32" s="1">
        <v>0</v>
      </c>
      <c r="AK32" s="3">
        <v>0</v>
      </c>
      <c r="AL32" s="1">
        <v>0</v>
      </c>
      <c r="AM32" s="1">
        <v>2.2962400000000001</v>
      </c>
      <c r="AN32" s="1">
        <v>-2.1853899999999999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1676.7571399999999</v>
      </c>
      <c r="AZ32" s="1">
        <v>5</v>
      </c>
      <c r="BA32" s="1">
        <v>5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131.50700000000001</v>
      </c>
      <c r="BM32" s="1">
        <v>0</v>
      </c>
      <c r="BN32" s="3">
        <v>0.1030787037037037</v>
      </c>
      <c r="BO32" s="1" t="s">
        <v>130</v>
      </c>
      <c r="BP32" s="1" t="s">
        <v>130</v>
      </c>
      <c r="BQ32" s="1" t="s">
        <v>130</v>
      </c>
      <c r="BR32" s="1">
        <v>7.0251700000000001</v>
      </c>
      <c r="BS32" s="1">
        <v>219</v>
      </c>
      <c r="BT32" s="1">
        <v>5.0028100000000002</v>
      </c>
      <c r="BU32" s="1">
        <v>8</v>
      </c>
      <c r="BV32" s="1">
        <v>2.93581</v>
      </c>
      <c r="BW32" s="1">
        <v>3.3311500000000001</v>
      </c>
      <c r="BX32" s="1">
        <v>2.5404599999999999</v>
      </c>
      <c r="BY32" s="1">
        <v>2</v>
      </c>
      <c r="BZ32" s="1" t="s">
        <v>130</v>
      </c>
      <c r="CA32" s="1" t="s">
        <v>130</v>
      </c>
      <c r="CB32" s="1" t="s">
        <v>130</v>
      </c>
      <c r="CC32" s="1">
        <v>0</v>
      </c>
      <c r="CD32" s="1" t="s">
        <v>130</v>
      </c>
      <c r="CE32" s="1" t="s">
        <v>130</v>
      </c>
      <c r="CF32" s="1" t="s">
        <v>130</v>
      </c>
      <c r="CG32" s="1">
        <v>0</v>
      </c>
      <c r="CH32" s="1" t="s">
        <v>130</v>
      </c>
      <c r="CI32" s="1" t="s">
        <v>130</v>
      </c>
      <c r="CJ32" s="1" t="s">
        <v>130</v>
      </c>
      <c r="CK32" s="1">
        <v>0</v>
      </c>
      <c r="CL32" s="1" t="s">
        <v>130</v>
      </c>
      <c r="CM32" s="1" t="s">
        <v>130</v>
      </c>
      <c r="CN32" s="1" t="s">
        <v>130</v>
      </c>
      <c r="CO32" s="1">
        <v>0</v>
      </c>
      <c r="CP32" s="1">
        <v>7.0361599999999997</v>
      </c>
      <c r="CQ32" s="1">
        <v>219</v>
      </c>
      <c r="CR32" s="1">
        <v>5.0028100000000002</v>
      </c>
      <c r="CS32" s="1">
        <v>8</v>
      </c>
      <c r="CT32" s="1">
        <v>2.93581</v>
      </c>
      <c r="CU32" s="1">
        <v>3.3311500000000001</v>
      </c>
      <c r="CV32" s="1">
        <v>2.5404599999999999</v>
      </c>
      <c r="CW32" s="1">
        <v>2</v>
      </c>
      <c r="CX32" s="1" t="s">
        <v>130</v>
      </c>
      <c r="CY32" s="1" t="s">
        <v>130</v>
      </c>
      <c r="CZ32" s="1" t="s">
        <v>130</v>
      </c>
      <c r="DA32" s="1">
        <v>0</v>
      </c>
      <c r="DB32" s="1" t="s">
        <v>130</v>
      </c>
      <c r="DC32" s="1" t="s">
        <v>130</v>
      </c>
      <c r="DD32" s="1" t="s">
        <v>130</v>
      </c>
      <c r="DE32" s="1">
        <v>0</v>
      </c>
      <c r="DF32" s="1" t="s">
        <v>130</v>
      </c>
      <c r="DG32" s="1" t="s">
        <v>130</v>
      </c>
      <c r="DH32" s="1" t="s">
        <v>130</v>
      </c>
      <c r="DI32" s="1">
        <v>0</v>
      </c>
      <c r="DJ32" s="1" t="s">
        <v>130</v>
      </c>
      <c r="DK32" s="1" t="s">
        <v>130</v>
      </c>
      <c r="DL32" s="1" t="s">
        <v>130</v>
      </c>
      <c r="DM32" s="1">
        <v>0</v>
      </c>
      <c r="DN32" s="1">
        <v>0</v>
      </c>
      <c r="DO32" s="1">
        <v>0</v>
      </c>
      <c r="DP32" s="1">
        <v>4.5109300000000001</v>
      </c>
      <c r="DQ32" s="1">
        <v>0</v>
      </c>
      <c r="DR32" s="1">
        <v>0</v>
      </c>
      <c r="DS32" s="1">
        <v>3.9331700000000001</v>
      </c>
      <c r="DT32" s="1">
        <v>0</v>
      </c>
      <c r="DU32" s="1">
        <v>1666.91821</v>
      </c>
      <c r="DV32" s="1">
        <v>139.68167</v>
      </c>
      <c r="DW32" s="1">
        <v>5</v>
      </c>
      <c r="DX32" s="1">
        <v>0</v>
      </c>
      <c r="DY32" s="3">
        <v>0.1030787037037037</v>
      </c>
      <c r="DZ32" t="str">
        <f>IF(GPS_Table[[#This Row],[Max Vel (% Max)]] &gt;= 90, "YES", "NO")</f>
        <v>NO</v>
      </c>
      <c r="EA32"/>
      <c r="EB32"/>
      <c r="EC32"/>
      <c r="ED32"/>
      <c r="EE32"/>
      <c r="EF32"/>
      <c r="EG32"/>
      <c r="EH32"/>
      <c r="EI32"/>
      <c r="EJ32"/>
    </row>
    <row r="33" spans="1:140" ht="14.25" customHeight="1" x14ac:dyDescent="0.2">
      <c r="A33" s="1" t="s">
        <v>174</v>
      </c>
      <c r="B33" s="1" t="s">
        <v>131</v>
      </c>
      <c r="C33" s="1" t="s">
        <v>129</v>
      </c>
      <c r="D33" s="1">
        <v>16</v>
      </c>
      <c r="E33" s="1">
        <v>15.548</v>
      </c>
      <c r="F33" s="1">
        <v>97.175030000000007</v>
      </c>
      <c r="G33" s="1">
        <v>0.15248999999999999</v>
      </c>
      <c r="H33" s="1">
        <v>232.28279000000001</v>
      </c>
      <c r="I33" s="1">
        <v>3716.5245599999998</v>
      </c>
      <c r="J33" s="3">
        <v>6.4351851851851853E-3</v>
      </c>
      <c r="K33" s="3">
        <v>0.1030787037037037</v>
      </c>
      <c r="L33" s="1">
        <v>292.08145999999999</v>
      </c>
      <c r="M33" s="1">
        <v>18.255089999999999</v>
      </c>
      <c r="N33" s="1">
        <v>5.2466999999999997</v>
      </c>
      <c r="O33" s="1">
        <v>1.9675499999999999</v>
      </c>
      <c r="P33" s="1">
        <v>292.08145999999999</v>
      </c>
      <c r="Q33" s="1">
        <v>1358.1792800000001</v>
      </c>
      <c r="R33" s="3">
        <v>1.7361111111111112E-4</v>
      </c>
      <c r="S33" s="1">
        <v>52.515309999999999</v>
      </c>
      <c r="T33" s="1">
        <v>9</v>
      </c>
      <c r="U33" s="1">
        <v>0</v>
      </c>
      <c r="V33" s="3">
        <v>0</v>
      </c>
      <c r="W33" s="1">
        <v>0</v>
      </c>
      <c r="X33" s="1">
        <v>0</v>
      </c>
      <c r="Y33" s="1">
        <v>0</v>
      </c>
      <c r="Z33" s="3">
        <v>0</v>
      </c>
      <c r="AA33" s="1">
        <v>4</v>
      </c>
      <c r="AB33" s="1">
        <v>7.03193</v>
      </c>
      <c r="AC33" s="3">
        <v>3.4722222222222222E-5</v>
      </c>
      <c r="AD33" s="1">
        <v>4</v>
      </c>
      <c r="AE33" s="1">
        <v>0</v>
      </c>
      <c r="AF33" s="1">
        <v>3.3792599999999999</v>
      </c>
      <c r="AG33" s="3">
        <v>0</v>
      </c>
      <c r="AH33" s="1">
        <v>0</v>
      </c>
      <c r="AI33" s="1">
        <v>1</v>
      </c>
      <c r="AJ33" s="1">
        <v>1.85914</v>
      </c>
      <c r="AK33" s="3">
        <v>0</v>
      </c>
      <c r="AL33" s="1">
        <v>1</v>
      </c>
      <c r="AM33" s="1">
        <v>3.4615800000000001</v>
      </c>
      <c r="AN33" s="1">
        <v>-5.99559</v>
      </c>
      <c r="AO33" s="1">
        <v>22.933070000000001</v>
      </c>
      <c r="AP33" s="1">
        <v>2</v>
      </c>
      <c r="AQ33" s="1">
        <v>6.1132999999999997</v>
      </c>
      <c r="AR33" s="1">
        <v>0</v>
      </c>
      <c r="AS33" s="1">
        <v>12.685919999999999</v>
      </c>
      <c r="AT33" s="1">
        <v>2.5262500000000001</v>
      </c>
      <c r="AU33" s="1">
        <v>0</v>
      </c>
      <c r="AV33" s="1">
        <v>1</v>
      </c>
      <c r="AW33" s="1">
        <v>10.15967</v>
      </c>
      <c r="AX33" s="1">
        <v>1</v>
      </c>
      <c r="AY33" s="1">
        <v>1954.1011000000001</v>
      </c>
      <c r="AZ33" s="1">
        <v>14</v>
      </c>
      <c r="BA33" s="1">
        <v>14</v>
      </c>
      <c r="BB33" s="1">
        <v>1</v>
      </c>
      <c r="BC33" s="1">
        <v>1</v>
      </c>
      <c r="BD33" s="1">
        <v>0</v>
      </c>
      <c r="BE33" s="1">
        <v>1</v>
      </c>
      <c r="BF33" s="1">
        <v>41.732289999999999</v>
      </c>
      <c r="BG33" s="1">
        <v>18.799219999999998</v>
      </c>
      <c r="BH33" s="1">
        <v>12.685919999999999</v>
      </c>
      <c r="BI33" s="1">
        <v>10.15967</v>
      </c>
      <c r="BJ33" s="1">
        <v>3</v>
      </c>
      <c r="BK33" s="1">
        <v>0</v>
      </c>
      <c r="BL33" s="1">
        <v>129.50363999999999</v>
      </c>
      <c r="BM33" s="1">
        <v>1</v>
      </c>
      <c r="BN33" s="3">
        <v>0.1030787037037037</v>
      </c>
      <c r="BO33" s="1" t="s">
        <v>130</v>
      </c>
      <c r="BP33" s="1" t="s">
        <v>130</v>
      </c>
      <c r="BQ33" s="1" t="s">
        <v>130</v>
      </c>
      <c r="BR33" s="1">
        <v>8.5437799999999999</v>
      </c>
      <c r="BS33" s="1">
        <v>228</v>
      </c>
      <c r="BT33" s="1">
        <v>9.9639699999999998</v>
      </c>
      <c r="BU33" s="1">
        <v>22</v>
      </c>
      <c r="BV33" s="1">
        <v>7.78207</v>
      </c>
      <c r="BW33" s="1">
        <v>46.917110000000001</v>
      </c>
      <c r="BX33" s="1">
        <v>0</v>
      </c>
      <c r="BY33" s="1">
        <v>10</v>
      </c>
      <c r="BZ33" s="1">
        <v>14.81134</v>
      </c>
      <c r="CA33" s="1">
        <v>28.07197</v>
      </c>
      <c r="CB33" s="1">
        <v>0</v>
      </c>
      <c r="CC33" s="1">
        <v>2</v>
      </c>
      <c r="CD33" s="1">
        <v>12.758089999999999</v>
      </c>
      <c r="CE33" s="1">
        <v>12.758089999999999</v>
      </c>
      <c r="CF33" s="1">
        <v>0</v>
      </c>
      <c r="CG33" s="1">
        <v>1</v>
      </c>
      <c r="CH33" s="1">
        <v>11.643700000000001</v>
      </c>
      <c r="CI33" s="1">
        <v>11.643700000000001</v>
      </c>
      <c r="CJ33" s="1">
        <v>0</v>
      </c>
      <c r="CK33" s="1">
        <v>1</v>
      </c>
      <c r="CL33" s="1">
        <v>8.8079499999999999</v>
      </c>
      <c r="CM33" s="1">
        <v>8.8079499999999999</v>
      </c>
      <c r="CN33" s="1">
        <v>8.8079499999999999</v>
      </c>
      <c r="CO33" s="1">
        <v>1</v>
      </c>
      <c r="CP33" s="1">
        <v>8.6786799999999999</v>
      </c>
      <c r="CQ33" s="1">
        <v>232</v>
      </c>
      <c r="CR33" s="1">
        <v>9.9944699999999997</v>
      </c>
      <c r="CS33" s="1">
        <v>23</v>
      </c>
      <c r="CT33" s="1">
        <v>7.6614699999999996</v>
      </c>
      <c r="CU33" s="1">
        <v>46.917110000000001</v>
      </c>
      <c r="CV33" s="1">
        <v>0</v>
      </c>
      <c r="CW33" s="1">
        <v>11</v>
      </c>
      <c r="CX33" s="1">
        <v>10.94049</v>
      </c>
      <c r="CY33" s="1">
        <v>29.506779999999999</v>
      </c>
      <c r="CZ33" s="1">
        <v>0</v>
      </c>
      <c r="DA33" s="1">
        <v>3</v>
      </c>
      <c r="DB33" s="1">
        <v>13.46785</v>
      </c>
      <c r="DC33" s="1">
        <v>13.46785</v>
      </c>
      <c r="DD33" s="1">
        <v>0</v>
      </c>
      <c r="DE33" s="1">
        <v>1</v>
      </c>
      <c r="DF33" s="1">
        <v>11.643700000000001</v>
      </c>
      <c r="DG33" s="1">
        <v>11.643700000000001</v>
      </c>
      <c r="DH33" s="1">
        <v>0</v>
      </c>
      <c r="DI33" s="1">
        <v>1</v>
      </c>
      <c r="DJ33" s="1">
        <v>9.6675400000000007</v>
      </c>
      <c r="DK33" s="1">
        <v>9.6675400000000007</v>
      </c>
      <c r="DL33" s="1">
        <v>9.6675400000000007</v>
      </c>
      <c r="DM33" s="1">
        <v>1</v>
      </c>
      <c r="DN33" s="1">
        <v>12.685919999999999</v>
      </c>
      <c r="DO33" s="1">
        <v>6.2428499999999998</v>
      </c>
      <c r="DP33" s="1">
        <v>3.6544300000000001</v>
      </c>
      <c r="DQ33" s="1">
        <v>5.2384000000000004</v>
      </c>
      <c r="DR33" s="1">
        <v>1</v>
      </c>
      <c r="DS33" s="1">
        <v>6.1626599999999998</v>
      </c>
      <c r="DT33" s="1">
        <v>1.1228800000000001</v>
      </c>
      <c r="DU33" s="1">
        <v>1935.81584</v>
      </c>
      <c r="DV33" s="1">
        <v>141.43666999999999</v>
      </c>
      <c r="DW33" s="1">
        <v>14</v>
      </c>
      <c r="DX33" s="1">
        <v>0</v>
      </c>
      <c r="DY33" s="3">
        <v>0.1030787037037037</v>
      </c>
      <c r="DZ33" t="str">
        <f>IF(GPS_Table[[#This Row],[Max Vel (% Max)]] &gt;= 90, "YES", "NO")</f>
        <v>YES</v>
      </c>
    </row>
    <row r="34" spans="1:140" s="4" customFormat="1" ht="14.25" customHeight="1" x14ac:dyDescent="0.2">
      <c r="A34" s="1" t="s">
        <v>175</v>
      </c>
      <c r="B34" s="1" t="s">
        <v>131</v>
      </c>
      <c r="C34" s="1" t="s">
        <v>129</v>
      </c>
      <c r="D34" s="1">
        <v>16</v>
      </c>
      <c r="E34" s="1">
        <v>9.7085699999999999</v>
      </c>
      <c r="F34" s="1">
        <v>60.678559999999997</v>
      </c>
      <c r="G34" s="1">
        <v>0.18448999999999999</v>
      </c>
      <c r="H34" s="1">
        <v>229.60091</v>
      </c>
      <c r="I34" s="1">
        <v>3673.61454</v>
      </c>
      <c r="J34" s="3">
        <v>6.4351851851851853E-3</v>
      </c>
      <c r="K34" s="3">
        <v>0.1030787037037037</v>
      </c>
      <c r="L34" s="1">
        <v>322.50555000000003</v>
      </c>
      <c r="M34" s="1">
        <v>20.156600000000001</v>
      </c>
      <c r="N34" s="1">
        <v>5.9495100000000001</v>
      </c>
      <c r="O34" s="1">
        <v>2.1724999999999999</v>
      </c>
      <c r="P34" s="1">
        <v>322.50555000000003</v>
      </c>
      <c r="Q34" s="1">
        <v>1643.2297100000001</v>
      </c>
      <c r="R34" s="3">
        <v>2.3148148148148149E-4</v>
      </c>
      <c r="S34" s="1">
        <v>56.539810000000003</v>
      </c>
      <c r="T34" s="1">
        <v>8</v>
      </c>
      <c r="U34" s="1">
        <v>0</v>
      </c>
      <c r="V34" s="3">
        <v>0</v>
      </c>
      <c r="W34" s="1">
        <v>0</v>
      </c>
      <c r="X34" s="1">
        <v>0</v>
      </c>
      <c r="Y34" s="1">
        <v>0</v>
      </c>
      <c r="Z34" s="3">
        <v>0</v>
      </c>
      <c r="AA34" s="1">
        <v>6</v>
      </c>
      <c r="AB34" s="1">
        <v>5.4352600000000004</v>
      </c>
      <c r="AC34" s="3">
        <v>6.9444444444444444E-5</v>
      </c>
      <c r="AD34" s="1">
        <v>6</v>
      </c>
      <c r="AE34" s="1">
        <v>0</v>
      </c>
      <c r="AF34" s="1">
        <v>0</v>
      </c>
      <c r="AG34" s="3">
        <v>0</v>
      </c>
      <c r="AH34" s="1">
        <v>0</v>
      </c>
      <c r="AI34" s="1">
        <v>0</v>
      </c>
      <c r="AJ34" s="1">
        <v>0</v>
      </c>
      <c r="AK34" s="3">
        <v>0</v>
      </c>
      <c r="AL34" s="1">
        <v>0</v>
      </c>
      <c r="AM34" s="1">
        <v>2.5754899999999998</v>
      </c>
      <c r="AN34" s="1">
        <v>-2.8238099999999999</v>
      </c>
      <c r="AO34" s="1">
        <v>1.6841600000000001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1932.0353600000001</v>
      </c>
      <c r="AZ34" s="1">
        <v>14</v>
      </c>
      <c r="BA34" s="1">
        <v>14</v>
      </c>
      <c r="BB34" s="1">
        <v>0</v>
      </c>
      <c r="BC34" s="1">
        <v>0</v>
      </c>
      <c r="BD34" s="1">
        <v>0</v>
      </c>
      <c r="BE34" s="1">
        <v>0</v>
      </c>
      <c r="BF34" s="1">
        <v>1.6841600000000001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135.01955000000001</v>
      </c>
      <c r="BM34" s="1">
        <v>0</v>
      </c>
      <c r="BN34" s="3">
        <v>0.1030787037037037</v>
      </c>
      <c r="BO34" s="1" t="s">
        <v>130</v>
      </c>
      <c r="BP34" s="1" t="s">
        <v>130</v>
      </c>
      <c r="BQ34" s="1" t="s">
        <v>130</v>
      </c>
      <c r="BR34" s="1">
        <v>6.9216199999999999</v>
      </c>
      <c r="BS34" s="1">
        <v>265</v>
      </c>
      <c r="BT34" s="1">
        <v>7.7346000000000004</v>
      </c>
      <c r="BU34" s="1">
        <v>34</v>
      </c>
      <c r="BV34" s="1">
        <v>3.2272400000000001</v>
      </c>
      <c r="BW34" s="1">
        <v>6.7990399999999998</v>
      </c>
      <c r="BX34" s="1">
        <v>0</v>
      </c>
      <c r="BY34" s="1">
        <v>7</v>
      </c>
      <c r="BZ34" s="1" t="s">
        <v>130</v>
      </c>
      <c r="CA34" s="1">
        <v>0</v>
      </c>
      <c r="CB34" s="1">
        <v>0</v>
      </c>
      <c r="CC34" s="1">
        <v>0</v>
      </c>
      <c r="CD34" s="1" t="s">
        <v>130</v>
      </c>
      <c r="CE34" s="1" t="s">
        <v>130</v>
      </c>
      <c r="CF34" s="1" t="s">
        <v>130</v>
      </c>
      <c r="CG34" s="1">
        <v>0</v>
      </c>
      <c r="CH34" s="1" t="s">
        <v>130</v>
      </c>
      <c r="CI34" s="1" t="s">
        <v>130</v>
      </c>
      <c r="CJ34" s="1" t="s">
        <v>130</v>
      </c>
      <c r="CK34" s="1">
        <v>0</v>
      </c>
      <c r="CL34" s="1" t="s">
        <v>130</v>
      </c>
      <c r="CM34" s="1" t="s">
        <v>130</v>
      </c>
      <c r="CN34" s="1" t="s">
        <v>130</v>
      </c>
      <c r="CO34" s="1">
        <v>0</v>
      </c>
      <c r="CP34" s="1">
        <v>6.9857699999999996</v>
      </c>
      <c r="CQ34" s="1">
        <v>264</v>
      </c>
      <c r="CR34" s="1">
        <v>7.7346000000000004</v>
      </c>
      <c r="CS34" s="1">
        <v>34</v>
      </c>
      <c r="CT34" s="1">
        <v>3.1780200000000001</v>
      </c>
      <c r="CU34" s="1">
        <v>6.7990399999999998</v>
      </c>
      <c r="CV34" s="1">
        <v>0</v>
      </c>
      <c r="CW34" s="1">
        <v>7</v>
      </c>
      <c r="CX34" s="1" t="s">
        <v>130</v>
      </c>
      <c r="CY34" s="1">
        <v>0</v>
      </c>
      <c r="CZ34" s="1">
        <v>0</v>
      </c>
      <c r="DA34" s="1">
        <v>0</v>
      </c>
      <c r="DB34" s="1" t="s">
        <v>130</v>
      </c>
      <c r="DC34" s="1" t="s">
        <v>130</v>
      </c>
      <c r="DD34" s="1" t="s">
        <v>130</v>
      </c>
      <c r="DE34" s="1">
        <v>0</v>
      </c>
      <c r="DF34" s="1" t="s">
        <v>130</v>
      </c>
      <c r="DG34" s="1" t="s">
        <v>130</v>
      </c>
      <c r="DH34" s="1" t="s">
        <v>130</v>
      </c>
      <c r="DI34" s="1">
        <v>0</v>
      </c>
      <c r="DJ34" s="1" t="s">
        <v>130</v>
      </c>
      <c r="DK34" s="1" t="s">
        <v>130</v>
      </c>
      <c r="DL34" s="1" t="s">
        <v>130</v>
      </c>
      <c r="DM34" s="1">
        <v>0</v>
      </c>
      <c r="DN34" s="1">
        <v>0</v>
      </c>
      <c r="DO34" s="1">
        <v>9.7919999999999993E-2</v>
      </c>
      <c r="DP34" s="1">
        <v>4.4730600000000003</v>
      </c>
      <c r="DQ34" s="1">
        <v>0</v>
      </c>
      <c r="DR34" s="1">
        <v>0</v>
      </c>
      <c r="DS34" s="1">
        <v>7.1316600000000001</v>
      </c>
      <c r="DT34" s="1">
        <v>4.5839999999999999E-2</v>
      </c>
      <c r="DU34" s="1">
        <v>1926.3670199999999</v>
      </c>
      <c r="DV34" s="1">
        <v>140.10167000000001</v>
      </c>
      <c r="DW34" s="1">
        <v>14</v>
      </c>
      <c r="DX34" s="1">
        <v>0</v>
      </c>
      <c r="DY34" s="3">
        <v>0.1030787037037037</v>
      </c>
      <c r="DZ34" t="str">
        <f>IF(GPS_Table[[#This Row],[Max Vel (% Max)]] &gt;= 90, "YES", "NO")</f>
        <v>NO</v>
      </c>
      <c r="EA34"/>
      <c r="EB34"/>
      <c r="EC34"/>
      <c r="ED34"/>
      <c r="EE34"/>
      <c r="EF34"/>
      <c r="EG34"/>
      <c r="EH34"/>
      <c r="EI34"/>
      <c r="EJ34"/>
    </row>
    <row r="35" spans="1:140" ht="14.25" customHeight="1" x14ac:dyDescent="0.2">
      <c r="A35" s="1" t="s">
        <v>176</v>
      </c>
      <c r="B35" s="1" t="s">
        <v>131</v>
      </c>
      <c r="C35" s="1" t="s">
        <v>129</v>
      </c>
      <c r="D35" s="1">
        <v>17.3</v>
      </c>
      <c r="E35" s="1">
        <v>16.368410000000001</v>
      </c>
      <c r="F35" s="1">
        <v>94.615089999999995</v>
      </c>
      <c r="G35" s="1">
        <v>0.18231</v>
      </c>
      <c r="H35" s="1">
        <v>242.07405</v>
      </c>
      <c r="I35" s="1">
        <v>3873.1848500000001</v>
      </c>
      <c r="J35" s="3">
        <v>6.4351851851851853E-3</v>
      </c>
      <c r="K35" s="3">
        <v>0.1030787037037037</v>
      </c>
      <c r="L35" s="1">
        <v>365.19382000000002</v>
      </c>
      <c r="M35" s="1">
        <v>22.82461</v>
      </c>
      <c r="N35" s="1">
        <v>5.7230699999999999</v>
      </c>
      <c r="O35" s="1">
        <v>2.4600599999999999</v>
      </c>
      <c r="P35" s="1">
        <v>365.19382000000002</v>
      </c>
      <c r="Q35" s="1">
        <v>1623.8325</v>
      </c>
      <c r="R35" s="3">
        <v>2.7777777777777778E-4</v>
      </c>
      <c r="S35" s="1">
        <v>67.071299999999994</v>
      </c>
      <c r="T35" s="1">
        <v>6</v>
      </c>
      <c r="U35" s="1">
        <v>0</v>
      </c>
      <c r="V35" s="3">
        <v>0</v>
      </c>
      <c r="W35" s="1">
        <v>0.61241999999999996</v>
      </c>
      <c r="X35" s="1">
        <v>0</v>
      </c>
      <c r="Y35" s="1">
        <v>0</v>
      </c>
      <c r="Z35" s="3">
        <v>0</v>
      </c>
      <c r="AA35" s="1">
        <v>5</v>
      </c>
      <c r="AB35" s="1">
        <v>6.8569599999999999</v>
      </c>
      <c r="AC35" s="3">
        <v>6.9444444444444444E-5</v>
      </c>
      <c r="AD35" s="1">
        <v>5</v>
      </c>
      <c r="AE35" s="1">
        <v>0</v>
      </c>
      <c r="AF35" s="1">
        <v>0</v>
      </c>
      <c r="AG35" s="3">
        <v>0</v>
      </c>
      <c r="AH35" s="1">
        <v>0</v>
      </c>
      <c r="AI35" s="1">
        <v>0</v>
      </c>
      <c r="AJ35" s="1">
        <v>0</v>
      </c>
      <c r="AK35" s="3">
        <v>0</v>
      </c>
      <c r="AL35" s="1">
        <v>0</v>
      </c>
      <c r="AM35" s="1">
        <v>2.9503200000000001</v>
      </c>
      <c r="AN35" s="1">
        <v>-2.6580300000000001</v>
      </c>
      <c r="AO35" s="1">
        <v>4.1447900000000004</v>
      </c>
      <c r="AP35" s="1">
        <v>0</v>
      </c>
      <c r="AQ35" s="1">
        <v>2.7668400000000002</v>
      </c>
      <c r="AR35" s="1">
        <v>0</v>
      </c>
      <c r="AS35" s="1">
        <v>12.30315</v>
      </c>
      <c r="AT35" s="1">
        <v>5.9930000000000003</v>
      </c>
      <c r="AU35" s="1">
        <v>0</v>
      </c>
      <c r="AV35" s="1">
        <v>0</v>
      </c>
      <c r="AW35" s="1">
        <v>6.3101500000000001</v>
      </c>
      <c r="AX35" s="1">
        <v>0</v>
      </c>
      <c r="AY35" s="1">
        <v>1656.9118699999999</v>
      </c>
      <c r="AZ35" s="1">
        <v>11</v>
      </c>
      <c r="BA35" s="1">
        <v>11</v>
      </c>
      <c r="BB35" s="1">
        <v>0</v>
      </c>
      <c r="BC35" s="1">
        <v>0</v>
      </c>
      <c r="BD35" s="1">
        <v>0</v>
      </c>
      <c r="BE35" s="1">
        <v>0</v>
      </c>
      <c r="BF35" s="1">
        <v>19.214780000000001</v>
      </c>
      <c r="BG35" s="1">
        <v>15.069990000000001</v>
      </c>
      <c r="BH35" s="1">
        <v>12.30315</v>
      </c>
      <c r="BI35" s="1">
        <v>6.3101500000000001</v>
      </c>
      <c r="BJ35" s="1">
        <v>0</v>
      </c>
      <c r="BK35" s="1">
        <v>0</v>
      </c>
      <c r="BL35" s="1">
        <v>137.78707</v>
      </c>
      <c r="BM35" s="1">
        <v>0</v>
      </c>
      <c r="BN35" s="3">
        <v>0.1030787037037037</v>
      </c>
      <c r="BO35" s="1" t="s">
        <v>130</v>
      </c>
      <c r="BP35" s="1" t="s">
        <v>130</v>
      </c>
      <c r="BQ35" s="1" t="s">
        <v>130</v>
      </c>
      <c r="BR35" s="1">
        <v>6.1151799999999996</v>
      </c>
      <c r="BS35" s="1">
        <v>236</v>
      </c>
      <c r="BT35" s="1">
        <v>7.0915100000000004</v>
      </c>
      <c r="BU35" s="1">
        <v>11</v>
      </c>
      <c r="BV35" s="1">
        <v>3.4735299999999998</v>
      </c>
      <c r="BW35" s="1">
        <v>5.8880499999999998</v>
      </c>
      <c r="BX35" s="1">
        <v>0</v>
      </c>
      <c r="BY35" s="1">
        <v>3</v>
      </c>
      <c r="BZ35" s="1" t="s">
        <v>130</v>
      </c>
      <c r="CA35" s="1">
        <v>0</v>
      </c>
      <c r="CB35" s="1">
        <v>0</v>
      </c>
      <c r="CC35" s="1">
        <v>0</v>
      </c>
      <c r="CD35" s="1" t="s">
        <v>130</v>
      </c>
      <c r="CE35" s="1">
        <v>0</v>
      </c>
      <c r="CF35" s="1">
        <v>0</v>
      </c>
      <c r="CG35" s="1">
        <v>0</v>
      </c>
      <c r="CH35" s="1" t="s">
        <v>130</v>
      </c>
      <c r="CI35" s="1">
        <v>0</v>
      </c>
      <c r="CJ35" s="1">
        <v>0</v>
      </c>
      <c r="CK35" s="1">
        <v>0</v>
      </c>
      <c r="CL35" s="1" t="s">
        <v>130</v>
      </c>
      <c r="CM35" s="1">
        <v>0</v>
      </c>
      <c r="CN35" s="1">
        <v>0</v>
      </c>
      <c r="CO35" s="1">
        <v>0</v>
      </c>
      <c r="CP35" s="1">
        <v>6.0908499999999997</v>
      </c>
      <c r="CQ35" s="1">
        <v>249</v>
      </c>
      <c r="CR35" s="1">
        <v>6.3704000000000001</v>
      </c>
      <c r="CS35" s="1">
        <v>13</v>
      </c>
      <c r="CT35" s="1">
        <v>3.3955500000000001</v>
      </c>
      <c r="CU35" s="1">
        <v>6.2017699999999998</v>
      </c>
      <c r="CV35" s="1">
        <v>1.6852799999999999</v>
      </c>
      <c r="CW35" s="1">
        <v>4</v>
      </c>
      <c r="CX35" s="1" t="s">
        <v>130</v>
      </c>
      <c r="CY35" s="1">
        <v>0</v>
      </c>
      <c r="CZ35" s="1">
        <v>0</v>
      </c>
      <c r="DA35" s="1">
        <v>0</v>
      </c>
      <c r="DB35" s="1" t="s">
        <v>130</v>
      </c>
      <c r="DC35" s="1">
        <v>0</v>
      </c>
      <c r="DD35" s="1">
        <v>0</v>
      </c>
      <c r="DE35" s="1">
        <v>0</v>
      </c>
      <c r="DF35" s="1" t="s">
        <v>130</v>
      </c>
      <c r="DG35" s="1">
        <v>0</v>
      </c>
      <c r="DH35" s="1">
        <v>0</v>
      </c>
      <c r="DI35" s="1">
        <v>0</v>
      </c>
      <c r="DJ35" s="1" t="s">
        <v>130</v>
      </c>
      <c r="DK35" s="1">
        <v>0</v>
      </c>
      <c r="DL35" s="1">
        <v>0</v>
      </c>
      <c r="DM35" s="1">
        <v>0</v>
      </c>
      <c r="DN35" s="1">
        <v>12.30315</v>
      </c>
      <c r="DO35" s="1">
        <v>3.2178900000000001</v>
      </c>
      <c r="DP35" s="1">
        <v>4.1924999999999999</v>
      </c>
      <c r="DQ35" s="1">
        <v>0.61241999999999996</v>
      </c>
      <c r="DR35" s="1">
        <v>0</v>
      </c>
      <c r="DS35" s="1">
        <v>7.3933299999999997</v>
      </c>
      <c r="DT35" s="1">
        <v>0.49609999999999999</v>
      </c>
      <c r="DU35" s="1">
        <v>1647.13471</v>
      </c>
      <c r="DV35" s="1">
        <v>138.38499999999999</v>
      </c>
      <c r="DW35" s="1">
        <v>11</v>
      </c>
      <c r="DX35" s="1">
        <v>0</v>
      </c>
      <c r="DY35" s="3">
        <v>0.1030787037037037</v>
      </c>
      <c r="DZ35" t="str">
        <f>IF(GPS_Table[[#This Row],[Max Vel (% Max)]] &gt;= 90, "YES", "NO")</f>
        <v>YES</v>
      </c>
    </row>
    <row r="36" spans="1:140" ht="14.25" customHeight="1" x14ac:dyDescent="0.2">
      <c r="A36" s="1" t="s">
        <v>177</v>
      </c>
      <c r="B36" s="1" t="s">
        <v>131</v>
      </c>
      <c r="C36" s="1" t="s">
        <v>129</v>
      </c>
      <c r="D36" s="1">
        <v>16</v>
      </c>
      <c r="E36" s="1">
        <v>13.057130000000001</v>
      </c>
      <c r="F36" s="1">
        <v>81.607060000000004</v>
      </c>
      <c r="G36" s="1">
        <v>0.17483000000000001</v>
      </c>
      <c r="H36" s="1">
        <v>234.45509999999999</v>
      </c>
      <c r="I36" s="1">
        <v>3751.2815399999999</v>
      </c>
      <c r="J36" s="3">
        <v>6.4351851851851853E-3</v>
      </c>
      <c r="K36" s="3">
        <v>0.1030787037037037</v>
      </c>
      <c r="L36" s="1">
        <v>347.60827999999998</v>
      </c>
      <c r="M36" s="1">
        <v>21.725519999999999</v>
      </c>
      <c r="N36" s="1">
        <v>5.9002600000000003</v>
      </c>
      <c r="O36" s="1">
        <v>2.3416000000000001</v>
      </c>
      <c r="P36" s="1">
        <v>347.60827999999998</v>
      </c>
      <c r="Q36" s="1">
        <v>1557.16372</v>
      </c>
      <c r="R36" s="3">
        <v>2.4305555555555555E-4</v>
      </c>
      <c r="S36" s="1">
        <v>73.895449999999997</v>
      </c>
      <c r="T36" s="1">
        <v>8</v>
      </c>
      <c r="U36" s="1">
        <v>0</v>
      </c>
      <c r="V36" s="3">
        <v>0</v>
      </c>
      <c r="W36" s="1">
        <v>0</v>
      </c>
      <c r="X36" s="1">
        <v>0</v>
      </c>
      <c r="Y36" s="1">
        <v>0</v>
      </c>
      <c r="Z36" s="3">
        <v>0</v>
      </c>
      <c r="AA36" s="1">
        <v>6</v>
      </c>
      <c r="AB36" s="1">
        <v>7.5459300000000002</v>
      </c>
      <c r="AC36" s="3">
        <v>4.6296296296296294E-5</v>
      </c>
      <c r="AD36" s="1">
        <v>6</v>
      </c>
      <c r="AE36" s="1">
        <v>0</v>
      </c>
      <c r="AF36" s="1">
        <v>0</v>
      </c>
      <c r="AG36" s="3">
        <v>0</v>
      </c>
      <c r="AH36" s="1">
        <v>0</v>
      </c>
      <c r="AI36" s="1">
        <v>0</v>
      </c>
      <c r="AJ36" s="1">
        <v>0</v>
      </c>
      <c r="AK36" s="3">
        <v>0</v>
      </c>
      <c r="AL36" s="1">
        <v>0</v>
      </c>
      <c r="AM36" s="1">
        <v>3.18988</v>
      </c>
      <c r="AN36" s="1">
        <v>-2.8792200000000001</v>
      </c>
      <c r="AO36" s="1">
        <v>33.377079999999999</v>
      </c>
      <c r="AP36" s="1">
        <v>5</v>
      </c>
      <c r="AQ36" s="1">
        <v>9.4378799999999998</v>
      </c>
      <c r="AR36" s="1">
        <v>1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2169.3152100000002</v>
      </c>
      <c r="AZ36" s="1">
        <v>14</v>
      </c>
      <c r="BA36" s="1">
        <v>14</v>
      </c>
      <c r="BB36" s="1">
        <v>0</v>
      </c>
      <c r="BC36" s="1">
        <v>0</v>
      </c>
      <c r="BD36" s="1">
        <v>0</v>
      </c>
      <c r="BE36" s="1">
        <v>0</v>
      </c>
      <c r="BF36" s="1">
        <v>42.814959999999999</v>
      </c>
      <c r="BG36" s="1">
        <v>9.4378799999999998</v>
      </c>
      <c r="BH36" s="1">
        <v>0</v>
      </c>
      <c r="BI36" s="1">
        <v>0</v>
      </c>
      <c r="BJ36" s="1">
        <v>6</v>
      </c>
      <c r="BK36" s="1">
        <v>0</v>
      </c>
      <c r="BL36" s="1">
        <v>133.67509000000001</v>
      </c>
      <c r="BM36" s="1">
        <v>0</v>
      </c>
      <c r="BN36" s="3">
        <v>0.1030787037037037</v>
      </c>
      <c r="BO36" s="1" t="s">
        <v>130</v>
      </c>
      <c r="BP36" s="1" t="s">
        <v>130</v>
      </c>
      <c r="BQ36" s="1" t="s">
        <v>130</v>
      </c>
      <c r="BR36" s="1">
        <v>8.1431500000000003</v>
      </c>
      <c r="BS36" s="1">
        <v>244</v>
      </c>
      <c r="BT36" s="1">
        <v>10.255549999999999</v>
      </c>
      <c r="BU36" s="1">
        <v>32</v>
      </c>
      <c r="BV36" s="1">
        <v>6.1586100000000004</v>
      </c>
      <c r="BW36" s="1">
        <v>17.82809</v>
      </c>
      <c r="BX36" s="1">
        <v>0</v>
      </c>
      <c r="BY36" s="1">
        <v>14</v>
      </c>
      <c r="BZ36" s="1">
        <v>7.84192</v>
      </c>
      <c r="CA36" s="1">
        <v>14.775790000000001</v>
      </c>
      <c r="CB36" s="1">
        <v>3.28538</v>
      </c>
      <c r="CC36" s="1">
        <v>5</v>
      </c>
      <c r="CD36" s="1">
        <v>4.5167599999999997</v>
      </c>
      <c r="CE36" s="1">
        <v>6.83188</v>
      </c>
      <c r="CF36" s="1">
        <v>2.2016399999999998</v>
      </c>
      <c r="CG36" s="1">
        <v>2</v>
      </c>
      <c r="CH36" s="1" t="s">
        <v>130</v>
      </c>
      <c r="CI36" s="1" t="s">
        <v>130</v>
      </c>
      <c r="CJ36" s="1" t="s">
        <v>130</v>
      </c>
      <c r="CK36" s="1">
        <v>0</v>
      </c>
      <c r="CL36" s="1" t="s">
        <v>130</v>
      </c>
      <c r="CM36" s="1" t="s">
        <v>130</v>
      </c>
      <c r="CN36" s="1" t="s">
        <v>130</v>
      </c>
      <c r="CO36" s="1">
        <v>0</v>
      </c>
      <c r="CP36" s="1">
        <v>8.1431500000000003</v>
      </c>
      <c r="CQ36" s="1">
        <v>244</v>
      </c>
      <c r="CR36" s="1">
        <v>10.255549999999999</v>
      </c>
      <c r="CS36" s="1">
        <v>32</v>
      </c>
      <c r="CT36" s="1">
        <v>6.1586100000000004</v>
      </c>
      <c r="CU36" s="1">
        <v>17.82809</v>
      </c>
      <c r="CV36" s="1">
        <v>0</v>
      </c>
      <c r="CW36" s="1">
        <v>14</v>
      </c>
      <c r="CX36" s="1">
        <v>7.84192</v>
      </c>
      <c r="CY36" s="1">
        <v>14.775790000000001</v>
      </c>
      <c r="CZ36" s="1">
        <v>3.28538</v>
      </c>
      <c r="DA36" s="1">
        <v>5</v>
      </c>
      <c r="DB36" s="1">
        <v>4.5167599999999997</v>
      </c>
      <c r="DC36" s="1">
        <v>6.83188</v>
      </c>
      <c r="DD36" s="1">
        <v>2.2016399999999998</v>
      </c>
      <c r="DE36" s="1">
        <v>2</v>
      </c>
      <c r="DF36" s="1" t="s">
        <v>130</v>
      </c>
      <c r="DG36" s="1" t="s">
        <v>130</v>
      </c>
      <c r="DH36" s="1" t="s">
        <v>130</v>
      </c>
      <c r="DI36" s="1">
        <v>0</v>
      </c>
      <c r="DJ36" s="1" t="s">
        <v>130</v>
      </c>
      <c r="DK36" s="1" t="s">
        <v>130</v>
      </c>
      <c r="DL36" s="1" t="s">
        <v>130</v>
      </c>
      <c r="DM36" s="1">
        <v>0</v>
      </c>
      <c r="DN36" s="1">
        <v>0</v>
      </c>
      <c r="DO36" s="1">
        <v>3.03796</v>
      </c>
      <c r="DP36" s="1">
        <v>4.1510199999999999</v>
      </c>
      <c r="DQ36" s="1">
        <v>0</v>
      </c>
      <c r="DR36" s="1">
        <v>0</v>
      </c>
      <c r="DS36" s="1">
        <v>7.4796800000000001</v>
      </c>
      <c r="DT36" s="1">
        <v>1.14134</v>
      </c>
      <c r="DU36" s="1">
        <v>2163.8342499999999</v>
      </c>
      <c r="DV36" s="1">
        <v>139.01499999999999</v>
      </c>
      <c r="DW36" s="1">
        <v>14</v>
      </c>
      <c r="DX36" s="1">
        <v>0</v>
      </c>
      <c r="DY36" s="3">
        <v>0.1030787037037037</v>
      </c>
      <c r="DZ36" t="str">
        <f>IF(GPS_Table[[#This Row],[Max Vel (% Max)]] &gt;= 90, "YES", "NO")</f>
        <v>NO</v>
      </c>
    </row>
    <row r="37" spans="1:140" ht="14.25" customHeight="1" x14ac:dyDescent="0.2">
      <c r="A37" s="1" t="s">
        <v>178</v>
      </c>
      <c r="B37" s="1" t="s">
        <v>131</v>
      </c>
      <c r="C37" s="1" t="s">
        <v>129</v>
      </c>
      <c r="D37" s="1">
        <v>16.870100000000001</v>
      </c>
      <c r="E37" s="1">
        <v>10.408910000000001</v>
      </c>
      <c r="F37" s="1">
        <v>61.700319999999998</v>
      </c>
      <c r="G37" s="1">
        <v>0.17366000000000001</v>
      </c>
      <c r="H37" s="1">
        <v>231.96293</v>
      </c>
      <c r="I37" s="1">
        <v>3711.4068299999999</v>
      </c>
      <c r="J37" s="3">
        <v>6.4351851851851853E-3</v>
      </c>
      <c r="K37" s="3">
        <v>0.1030787037037037</v>
      </c>
      <c r="L37" s="1">
        <v>322.38830000000002</v>
      </c>
      <c r="M37" s="1">
        <v>20.149270000000001</v>
      </c>
      <c r="N37" s="1">
        <v>4.52705</v>
      </c>
      <c r="O37" s="1">
        <v>2.17171</v>
      </c>
      <c r="P37" s="1">
        <v>322.38830000000002</v>
      </c>
      <c r="Q37" s="1">
        <v>1546.8089299999999</v>
      </c>
      <c r="R37" s="3">
        <v>1.7361111111111112E-4</v>
      </c>
      <c r="S37" s="1">
        <v>43.339889999999997</v>
      </c>
      <c r="T37" s="1">
        <v>7</v>
      </c>
      <c r="U37" s="1">
        <v>0</v>
      </c>
      <c r="V37" s="3">
        <v>0</v>
      </c>
      <c r="W37" s="1">
        <v>0</v>
      </c>
      <c r="X37" s="1">
        <v>0</v>
      </c>
      <c r="Y37" s="1">
        <v>0</v>
      </c>
      <c r="Z37" s="3">
        <v>0</v>
      </c>
      <c r="AA37" s="1">
        <v>4</v>
      </c>
      <c r="AB37" s="1">
        <v>6.3648300000000004</v>
      </c>
      <c r="AC37" s="3">
        <v>5.7870370370370373E-5</v>
      </c>
      <c r="AD37" s="1">
        <v>4</v>
      </c>
      <c r="AE37" s="1">
        <v>0</v>
      </c>
      <c r="AF37" s="1">
        <v>0</v>
      </c>
      <c r="AG37" s="3">
        <v>0</v>
      </c>
      <c r="AH37" s="1">
        <v>0</v>
      </c>
      <c r="AI37" s="1">
        <v>0</v>
      </c>
      <c r="AJ37" s="1">
        <v>0</v>
      </c>
      <c r="AK37" s="3">
        <v>0</v>
      </c>
      <c r="AL37" s="1">
        <v>0</v>
      </c>
      <c r="AM37" s="1">
        <v>2.2233800000000001</v>
      </c>
      <c r="AN37" s="1">
        <v>-3.2919299999999998</v>
      </c>
      <c r="AO37" s="1">
        <v>4.7900299999999998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1595.6150299999999</v>
      </c>
      <c r="AZ37" s="1">
        <v>11</v>
      </c>
      <c r="BA37" s="1">
        <v>11</v>
      </c>
      <c r="BB37" s="1">
        <v>0</v>
      </c>
      <c r="BC37" s="1">
        <v>0</v>
      </c>
      <c r="BD37" s="1">
        <v>0</v>
      </c>
      <c r="BE37" s="1">
        <v>0</v>
      </c>
      <c r="BF37" s="1">
        <v>4.7900299999999998</v>
      </c>
      <c r="BG37" s="1">
        <v>0</v>
      </c>
      <c r="BH37" s="1">
        <v>0</v>
      </c>
      <c r="BI37" s="1">
        <v>0</v>
      </c>
      <c r="BJ37" s="1">
        <v>1</v>
      </c>
      <c r="BK37" s="1">
        <v>0</v>
      </c>
      <c r="BL37" s="1">
        <v>130.17278999999999</v>
      </c>
      <c r="BM37" s="1">
        <v>0</v>
      </c>
      <c r="BN37" s="3">
        <v>0.1030787037037037</v>
      </c>
      <c r="BO37" s="1" t="s">
        <v>130</v>
      </c>
      <c r="BP37" s="1" t="s">
        <v>130</v>
      </c>
      <c r="BQ37" s="1" t="s">
        <v>130</v>
      </c>
      <c r="BR37" s="1">
        <v>6.3253700000000004</v>
      </c>
      <c r="BS37" s="1">
        <v>217</v>
      </c>
      <c r="BT37" s="1">
        <v>6.14018</v>
      </c>
      <c r="BU37" s="1">
        <v>16</v>
      </c>
      <c r="BV37" s="1">
        <v>3.9245700000000001</v>
      </c>
      <c r="BW37" s="1">
        <v>5.3172100000000002</v>
      </c>
      <c r="BX37" s="1">
        <v>0</v>
      </c>
      <c r="BY37" s="1">
        <v>3</v>
      </c>
      <c r="BZ37" s="1">
        <v>2.54901</v>
      </c>
      <c r="CA37" s="1">
        <v>2.54901</v>
      </c>
      <c r="CB37" s="1">
        <v>0</v>
      </c>
      <c r="CC37" s="1">
        <v>1</v>
      </c>
      <c r="CD37" s="1" t="s">
        <v>130</v>
      </c>
      <c r="CE37" s="1" t="s">
        <v>130</v>
      </c>
      <c r="CF37" s="1" t="s">
        <v>130</v>
      </c>
      <c r="CG37" s="1">
        <v>0</v>
      </c>
      <c r="CH37" s="1" t="s">
        <v>130</v>
      </c>
      <c r="CI37" s="1" t="s">
        <v>130</v>
      </c>
      <c r="CJ37" s="1" t="s">
        <v>130</v>
      </c>
      <c r="CK37" s="1">
        <v>0</v>
      </c>
      <c r="CL37" s="1" t="s">
        <v>130</v>
      </c>
      <c r="CM37" s="1" t="s">
        <v>130</v>
      </c>
      <c r="CN37" s="1" t="s">
        <v>130</v>
      </c>
      <c r="CO37" s="1">
        <v>0</v>
      </c>
      <c r="CP37" s="1">
        <v>6.3517299999999999</v>
      </c>
      <c r="CQ37" s="1">
        <v>216</v>
      </c>
      <c r="CR37" s="1">
        <v>6.14018</v>
      </c>
      <c r="CS37" s="1">
        <v>16</v>
      </c>
      <c r="CT37" s="1">
        <v>3.9245700000000001</v>
      </c>
      <c r="CU37" s="1">
        <v>5.3172100000000002</v>
      </c>
      <c r="CV37" s="1">
        <v>0</v>
      </c>
      <c r="CW37" s="1">
        <v>3</v>
      </c>
      <c r="CX37" s="1">
        <v>2.54901</v>
      </c>
      <c r="CY37" s="1">
        <v>2.54901</v>
      </c>
      <c r="CZ37" s="1">
        <v>0</v>
      </c>
      <c r="DA37" s="1">
        <v>1</v>
      </c>
      <c r="DB37" s="1" t="s">
        <v>130</v>
      </c>
      <c r="DC37" s="1" t="s">
        <v>130</v>
      </c>
      <c r="DD37" s="1" t="s">
        <v>130</v>
      </c>
      <c r="DE37" s="1">
        <v>0</v>
      </c>
      <c r="DF37" s="1" t="s">
        <v>130</v>
      </c>
      <c r="DG37" s="1" t="s">
        <v>130</v>
      </c>
      <c r="DH37" s="1" t="s">
        <v>130</v>
      </c>
      <c r="DI37" s="1">
        <v>0</v>
      </c>
      <c r="DJ37" s="1" t="s">
        <v>130</v>
      </c>
      <c r="DK37" s="1" t="s">
        <v>130</v>
      </c>
      <c r="DL37" s="1" t="s">
        <v>130</v>
      </c>
      <c r="DM37" s="1">
        <v>0</v>
      </c>
      <c r="DN37" s="1">
        <v>0</v>
      </c>
      <c r="DO37" s="1">
        <v>0.27849000000000002</v>
      </c>
      <c r="DP37" s="1">
        <v>4.1677200000000001</v>
      </c>
      <c r="DQ37" s="1">
        <v>0</v>
      </c>
      <c r="DR37" s="1">
        <v>0</v>
      </c>
      <c r="DS37" s="1">
        <v>4.1875</v>
      </c>
      <c r="DT37" s="1">
        <v>0.12906000000000001</v>
      </c>
      <c r="DU37" s="1">
        <v>1576.82635</v>
      </c>
      <c r="DV37" s="1">
        <v>140.57499999999999</v>
      </c>
      <c r="DW37" s="1">
        <v>11</v>
      </c>
      <c r="DX37" s="1">
        <v>0</v>
      </c>
      <c r="DY37" s="3">
        <v>0.1030787037037037</v>
      </c>
      <c r="DZ37" t="str">
        <f>IF(GPS_Table[[#This Row],[Max Vel (% Max)]] &gt;= 90, "YES", "NO")</f>
        <v>NO</v>
      </c>
    </row>
    <row r="38" spans="1:140" ht="14.25" customHeight="1" x14ac:dyDescent="0.2">
      <c r="A38" s="1" t="s">
        <v>179</v>
      </c>
      <c r="B38" s="1" t="s">
        <v>131</v>
      </c>
      <c r="C38" s="1" t="s">
        <v>129</v>
      </c>
      <c r="D38" s="1">
        <v>15.99991</v>
      </c>
      <c r="E38" s="1">
        <v>10.544840000000001</v>
      </c>
      <c r="F38" s="1">
        <v>65.905600000000007</v>
      </c>
      <c r="G38" s="1">
        <v>0.18817</v>
      </c>
      <c r="H38" s="1">
        <v>244.71680000000001</v>
      </c>
      <c r="I38" s="1">
        <v>3915.4688299999998</v>
      </c>
      <c r="J38" s="3">
        <v>6.4351851851851853E-3</v>
      </c>
      <c r="K38" s="3">
        <v>0.1030787037037037</v>
      </c>
      <c r="L38" s="1">
        <v>333.02404000000001</v>
      </c>
      <c r="M38" s="1">
        <v>20.814</v>
      </c>
      <c r="N38" s="1">
        <v>5.3642000000000003</v>
      </c>
      <c r="O38" s="1">
        <v>2.24335</v>
      </c>
      <c r="P38" s="1">
        <v>333.02404000000001</v>
      </c>
      <c r="Q38" s="1">
        <v>1676.03549</v>
      </c>
      <c r="R38" s="3">
        <v>3.3564814814814812E-4</v>
      </c>
      <c r="S38" s="1">
        <v>99.737530000000007</v>
      </c>
      <c r="T38" s="1">
        <v>17</v>
      </c>
      <c r="U38" s="1">
        <v>0</v>
      </c>
      <c r="V38" s="3">
        <v>0</v>
      </c>
      <c r="W38" s="1">
        <v>0</v>
      </c>
      <c r="X38" s="1">
        <v>0</v>
      </c>
      <c r="Y38" s="1">
        <v>0</v>
      </c>
      <c r="Z38" s="3">
        <v>0</v>
      </c>
      <c r="AA38" s="1">
        <v>4</v>
      </c>
      <c r="AB38" s="1">
        <v>3.08399</v>
      </c>
      <c r="AC38" s="3">
        <v>3.4722222222222222E-5</v>
      </c>
      <c r="AD38" s="1">
        <v>4</v>
      </c>
      <c r="AE38" s="1">
        <v>0</v>
      </c>
      <c r="AF38" s="1">
        <v>0</v>
      </c>
      <c r="AG38" s="3">
        <v>0</v>
      </c>
      <c r="AH38" s="1">
        <v>0</v>
      </c>
      <c r="AI38" s="1">
        <v>0</v>
      </c>
      <c r="AJ38" s="1">
        <v>0</v>
      </c>
      <c r="AK38" s="3">
        <v>0</v>
      </c>
      <c r="AL38" s="1">
        <v>0</v>
      </c>
      <c r="AM38" s="1">
        <v>2.9048099999999999</v>
      </c>
      <c r="AN38" s="1">
        <v>-2.2432799999999999</v>
      </c>
      <c r="AO38" s="1">
        <v>5.7524100000000002</v>
      </c>
      <c r="AP38" s="1">
        <v>1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1823.1569400000001</v>
      </c>
      <c r="AZ38" s="1">
        <v>21</v>
      </c>
      <c r="BA38" s="1">
        <v>21</v>
      </c>
      <c r="BB38" s="1">
        <v>0</v>
      </c>
      <c r="BC38" s="1">
        <v>0</v>
      </c>
      <c r="BD38" s="1">
        <v>0</v>
      </c>
      <c r="BE38" s="1">
        <v>0</v>
      </c>
      <c r="BF38" s="1">
        <v>5.7524100000000002</v>
      </c>
      <c r="BG38" s="1">
        <v>0</v>
      </c>
      <c r="BH38" s="1">
        <v>0</v>
      </c>
      <c r="BI38" s="1">
        <v>0</v>
      </c>
      <c r="BJ38" s="1">
        <v>1</v>
      </c>
      <c r="BK38" s="1">
        <v>0</v>
      </c>
      <c r="BL38" s="1">
        <v>140.10485</v>
      </c>
      <c r="BM38" s="1">
        <v>0</v>
      </c>
      <c r="BN38" s="3">
        <v>0.1030787037037037</v>
      </c>
      <c r="BO38" s="1" t="s">
        <v>130</v>
      </c>
      <c r="BP38" s="1" t="s">
        <v>130</v>
      </c>
      <c r="BQ38" s="1" t="s">
        <v>130</v>
      </c>
      <c r="BR38" s="1">
        <v>6.9792300000000003</v>
      </c>
      <c r="BS38" s="1">
        <v>265</v>
      </c>
      <c r="BT38" s="1">
        <v>4.99003</v>
      </c>
      <c r="BU38" s="1">
        <v>33</v>
      </c>
      <c r="BV38" s="1">
        <v>3.7829000000000002</v>
      </c>
      <c r="BW38" s="1">
        <v>10.14873</v>
      </c>
      <c r="BX38" s="1">
        <v>0</v>
      </c>
      <c r="BY38" s="1">
        <v>13</v>
      </c>
      <c r="BZ38" s="1">
        <v>4.9431500000000002</v>
      </c>
      <c r="CA38" s="1">
        <v>4.9431500000000002</v>
      </c>
      <c r="CB38" s="1">
        <v>4.9431500000000002</v>
      </c>
      <c r="CC38" s="1">
        <v>1</v>
      </c>
      <c r="CD38" s="1" t="s">
        <v>130</v>
      </c>
      <c r="CE38" s="1" t="s">
        <v>130</v>
      </c>
      <c r="CF38" s="1" t="s">
        <v>130</v>
      </c>
      <c r="CG38" s="1">
        <v>0</v>
      </c>
      <c r="CH38" s="1" t="s">
        <v>130</v>
      </c>
      <c r="CI38" s="1" t="s">
        <v>130</v>
      </c>
      <c r="CJ38" s="1" t="s">
        <v>130</v>
      </c>
      <c r="CK38" s="1">
        <v>0</v>
      </c>
      <c r="CL38" s="1" t="s">
        <v>130</v>
      </c>
      <c r="CM38" s="1" t="s">
        <v>130</v>
      </c>
      <c r="CN38" s="1" t="s">
        <v>130</v>
      </c>
      <c r="CO38" s="1">
        <v>0</v>
      </c>
      <c r="CP38" s="1">
        <v>6.9792300000000003</v>
      </c>
      <c r="CQ38" s="1">
        <v>265</v>
      </c>
      <c r="CR38" s="1">
        <v>4.99003</v>
      </c>
      <c r="CS38" s="1">
        <v>33</v>
      </c>
      <c r="CT38" s="1">
        <v>3.7829000000000002</v>
      </c>
      <c r="CU38" s="1">
        <v>10.14873</v>
      </c>
      <c r="CV38" s="1">
        <v>0</v>
      </c>
      <c r="CW38" s="1">
        <v>13</v>
      </c>
      <c r="CX38" s="1">
        <v>4.9431500000000002</v>
      </c>
      <c r="CY38" s="1">
        <v>4.9431500000000002</v>
      </c>
      <c r="CZ38" s="1">
        <v>4.9431500000000002</v>
      </c>
      <c r="DA38" s="1">
        <v>1</v>
      </c>
      <c r="DB38" s="1" t="s">
        <v>130</v>
      </c>
      <c r="DC38" s="1" t="s">
        <v>130</v>
      </c>
      <c r="DD38" s="1" t="s">
        <v>130</v>
      </c>
      <c r="DE38" s="1">
        <v>0</v>
      </c>
      <c r="DF38" s="1" t="s">
        <v>130</v>
      </c>
      <c r="DG38" s="1" t="s">
        <v>130</v>
      </c>
      <c r="DH38" s="1" t="s">
        <v>130</v>
      </c>
      <c r="DI38" s="1">
        <v>0</v>
      </c>
      <c r="DJ38" s="1" t="s">
        <v>130</v>
      </c>
      <c r="DK38" s="1" t="s">
        <v>130</v>
      </c>
      <c r="DL38" s="1" t="s">
        <v>130</v>
      </c>
      <c r="DM38" s="1">
        <v>0</v>
      </c>
      <c r="DN38" s="1">
        <v>0</v>
      </c>
      <c r="DO38" s="1">
        <v>0.33444000000000002</v>
      </c>
      <c r="DP38" s="1">
        <v>4.2805499999999999</v>
      </c>
      <c r="DQ38" s="1">
        <v>0</v>
      </c>
      <c r="DR38" s="1">
        <v>0</v>
      </c>
      <c r="DS38" s="1">
        <v>4.3540400000000004</v>
      </c>
      <c r="DT38" s="1">
        <v>0.14691000000000001</v>
      </c>
      <c r="DU38" s="1">
        <v>1818.40553</v>
      </c>
      <c r="DV38" s="1">
        <v>139.96666999999999</v>
      </c>
      <c r="DW38" s="1">
        <v>21</v>
      </c>
      <c r="DX38" s="1">
        <v>0</v>
      </c>
      <c r="DY38" s="3">
        <v>0.1030787037037037</v>
      </c>
      <c r="DZ38" t="str">
        <f>IF(GPS_Table[[#This Row],[Max Vel (% Max)]] &gt;= 90, "YES", "NO")</f>
        <v>NO</v>
      </c>
    </row>
    <row r="39" spans="1:140" ht="14.25" customHeight="1" x14ac:dyDescent="0.2">
      <c r="A39" s="1" t="s">
        <v>180</v>
      </c>
      <c r="B39" s="1" t="s">
        <v>131</v>
      </c>
      <c r="C39" s="1" t="s">
        <v>129</v>
      </c>
      <c r="D39" s="1">
        <v>15.67001</v>
      </c>
      <c r="E39" s="1">
        <v>10.81099</v>
      </c>
      <c r="F39" s="1">
        <v>68.991630000000001</v>
      </c>
      <c r="G39" s="1">
        <v>0.19899</v>
      </c>
      <c r="H39" s="1">
        <v>254.97396000000001</v>
      </c>
      <c r="I39" s="1">
        <v>4079.5833499999999</v>
      </c>
      <c r="J39" s="3">
        <v>6.4351851851851853E-3</v>
      </c>
      <c r="K39" s="3">
        <v>0.1030787037037037</v>
      </c>
      <c r="L39" s="1">
        <v>372.90192999999999</v>
      </c>
      <c r="M39" s="1">
        <v>23.306370000000001</v>
      </c>
      <c r="N39" s="1">
        <v>5.8262700000000001</v>
      </c>
      <c r="O39" s="1">
        <v>2.5119799999999999</v>
      </c>
      <c r="P39" s="1">
        <v>372.90192999999999</v>
      </c>
      <c r="Q39" s="1">
        <v>1772.38228</v>
      </c>
      <c r="R39" s="3">
        <v>2.7777777777777778E-4</v>
      </c>
      <c r="S39" s="1">
        <v>78.707350000000005</v>
      </c>
      <c r="T39" s="1">
        <v>11</v>
      </c>
      <c r="U39" s="1">
        <v>0</v>
      </c>
      <c r="V39" s="3">
        <v>0</v>
      </c>
      <c r="W39" s="1">
        <v>0.61241999999999996</v>
      </c>
      <c r="X39" s="1">
        <v>0</v>
      </c>
      <c r="Y39" s="1">
        <v>0.83115000000000006</v>
      </c>
      <c r="Z39" s="3">
        <v>0</v>
      </c>
      <c r="AA39" s="1">
        <v>8</v>
      </c>
      <c r="AB39" s="1">
        <v>10.15967</v>
      </c>
      <c r="AC39" s="3">
        <v>1.7361111111111112E-4</v>
      </c>
      <c r="AD39" s="1">
        <v>8</v>
      </c>
      <c r="AE39" s="1">
        <v>0</v>
      </c>
      <c r="AF39" s="1">
        <v>0.22966</v>
      </c>
      <c r="AG39" s="3">
        <v>0</v>
      </c>
      <c r="AH39" s="1">
        <v>0</v>
      </c>
      <c r="AI39" s="1">
        <v>0</v>
      </c>
      <c r="AJ39" s="1">
        <v>0</v>
      </c>
      <c r="AK39" s="3">
        <v>0</v>
      </c>
      <c r="AL39" s="1">
        <v>0</v>
      </c>
      <c r="AM39" s="1">
        <v>3.4872800000000002</v>
      </c>
      <c r="AN39" s="1">
        <v>-2.7522199999999999</v>
      </c>
      <c r="AO39" s="1">
        <v>15.45276</v>
      </c>
      <c r="AP39" s="1">
        <v>4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2313.96657</v>
      </c>
      <c r="AZ39" s="1">
        <v>19</v>
      </c>
      <c r="BA39" s="1">
        <v>19</v>
      </c>
      <c r="BB39" s="1">
        <v>0</v>
      </c>
      <c r="BC39" s="1">
        <v>0</v>
      </c>
      <c r="BD39" s="1">
        <v>0</v>
      </c>
      <c r="BE39" s="1">
        <v>0</v>
      </c>
      <c r="BF39" s="1">
        <v>15.45276</v>
      </c>
      <c r="BG39" s="1">
        <v>0</v>
      </c>
      <c r="BH39" s="1">
        <v>0</v>
      </c>
      <c r="BI39" s="1">
        <v>0</v>
      </c>
      <c r="BJ39" s="1">
        <v>4</v>
      </c>
      <c r="BK39" s="1">
        <v>0</v>
      </c>
      <c r="BL39" s="1">
        <v>146.15868</v>
      </c>
      <c r="BM39" s="1">
        <v>0</v>
      </c>
      <c r="BN39" s="3">
        <v>0.1030787037037037</v>
      </c>
      <c r="BO39" s="1" t="s">
        <v>130</v>
      </c>
      <c r="BP39" s="1" t="s">
        <v>130</v>
      </c>
      <c r="BQ39" s="1" t="s">
        <v>130</v>
      </c>
      <c r="BR39" s="1">
        <v>7.1258699999999999</v>
      </c>
      <c r="BS39" s="1">
        <v>290</v>
      </c>
      <c r="BT39" s="1">
        <v>5.8414200000000003</v>
      </c>
      <c r="BU39" s="1">
        <v>33</v>
      </c>
      <c r="BV39" s="1">
        <v>4.5340999999999996</v>
      </c>
      <c r="BW39" s="1">
        <v>10.55006</v>
      </c>
      <c r="BX39" s="1">
        <v>0</v>
      </c>
      <c r="BY39" s="1">
        <v>12</v>
      </c>
      <c r="BZ39" s="1">
        <v>2.6886000000000001</v>
      </c>
      <c r="CA39" s="1">
        <v>3.68547</v>
      </c>
      <c r="CB39" s="1">
        <v>0</v>
      </c>
      <c r="CC39" s="1">
        <v>4</v>
      </c>
      <c r="CD39" s="1" t="s">
        <v>130</v>
      </c>
      <c r="CE39" s="1" t="s">
        <v>130</v>
      </c>
      <c r="CF39" s="1" t="s">
        <v>130</v>
      </c>
      <c r="CG39" s="1">
        <v>0</v>
      </c>
      <c r="CH39" s="1" t="s">
        <v>130</v>
      </c>
      <c r="CI39" s="1" t="s">
        <v>130</v>
      </c>
      <c r="CJ39" s="1" t="s">
        <v>130</v>
      </c>
      <c r="CK39" s="1">
        <v>0</v>
      </c>
      <c r="CL39" s="1" t="s">
        <v>130</v>
      </c>
      <c r="CM39" s="1" t="s">
        <v>130</v>
      </c>
      <c r="CN39" s="1" t="s">
        <v>130</v>
      </c>
      <c r="CO39" s="1">
        <v>0</v>
      </c>
      <c r="CP39" s="1">
        <v>7.1343800000000002</v>
      </c>
      <c r="CQ39" s="1">
        <v>290</v>
      </c>
      <c r="CR39" s="1">
        <v>5.8414200000000003</v>
      </c>
      <c r="CS39" s="1">
        <v>33</v>
      </c>
      <c r="CT39" s="1">
        <v>4.5002899999999997</v>
      </c>
      <c r="CU39" s="1">
        <v>10.144360000000001</v>
      </c>
      <c r="CV39" s="1">
        <v>0</v>
      </c>
      <c r="CW39" s="1">
        <v>12</v>
      </c>
      <c r="CX39" s="1">
        <v>2.6886000000000001</v>
      </c>
      <c r="CY39" s="1">
        <v>3.68547</v>
      </c>
      <c r="CZ39" s="1">
        <v>0</v>
      </c>
      <c r="DA39" s="1">
        <v>4</v>
      </c>
      <c r="DB39" s="1" t="s">
        <v>130</v>
      </c>
      <c r="DC39" s="1" t="s">
        <v>130</v>
      </c>
      <c r="DD39" s="1" t="s">
        <v>130</v>
      </c>
      <c r="DE39" s="1">
        <v>0</v>
      </c>
      <c r="DF39" s="1" t="s">
        <v>130</v>
      </c>
      <c r="DG39" s="1" t="s">
        <v>130</v>
      </c>
      <c r="DH39" s="1" t="s">
        <v>130</v>
      </c>
      <c r="DI39" s="1">
        <v>0</v>
      </c>
      <c r="DJ39" s="1" t="s">
        <v>130</v>
      </c>
      <c r="DK39" s="1" t="s">
        <v>130</v>
      </c>
      <c r="DL39" s="1" t="s">
        <v>130</v>
      </c>
      <c r="DM39" s="1">
        <v>0</v>
      </c>
      <c r="DN39" s="1">
        <v>0</v>
      </c>
      <c r="DO39" s="1">
        <v>1.4274199999999999</v>
      </c>
      <c r="DP39" s="1">
        <v>4.3445200000000002</v>
      </c>
      <c r="DQ39" s="1">
        <v>1.67323</v>
      </c>
      <c r="DR39" s="1">
        <v>0</v>
      </c>
      <c r="DS39" s="1">
        <v>5.0951700000000004</v>
      </c>
      <c r="DT39" s="1">
        <v>0.37878000000000001</v>
      </c>
      <c r="DU39" s="1">
        <v>2308.6942399999998</v>
      </c>
      <c r="DV39" s="1">
        <v>137.56833</v>
      </c>
      <c r="DW39" s="1">
        <v>19</v>
      </c>
      <c r="DX39" s="1">
        <v>0</v>
      </c>
      <c r="DY39" s="3">
        <v>0.1030787037037037</v>
      </c>
      <c r="DZ39" t="str">
        <f>IF(GPS_Table[[#This Row],[Max Vel (% Max)]] &gt;= 90, "YES", "NO")</f>
        <v>NO</v>
      </c>
    </row>
    <row r="40" spans="1:140" ht="14.25" customHeight="1" x14ac:dyDescent="0.2">
      <c r="A40" s="1" t="s">
        <v>181</v>
      </c>
      <c r="B40" s="1" t="s">
        <v>131</v>
      </c>
      <c r="C40" s="1" t="s">
        <v>129</v>
      </c>
      <c r="D40" s="1">
        <v>15.5</v>
      </c>
      <c r="E40" s="1">
        <v>11.204549999999999</v>
      </c>
      <c r="F40" s="1">
        <v>72.287390000000002</v>
      </c>
      <c r="G40" s="1">
        <v>0.20138</v>
      </c>
      <c r="H40" s="1">
        <v>248.41126</v>
      </c>
      <c r="I40" s="1">
        <v>3974.5801499999998</v>
      </c>
      <c r="J40" s="3">
        <v>6.4351851851851853E-3</v>
      </c>
      <c r="K40" s="3">
        <v>0.1030787037037037</v>
      </c>
      <c r="L40" s="1">
        <v>428.69355000000002</v>
      </c>
      <c r="M40" s="1">
        <v>26.79335</v>
      </c>
      <c r="N40" s="1">
        <v>4.6814400000000003</v>
      </c>
      <c r="O40" s="1">
        <v>2.88781</v>
      </c>
      <c r="P40" s="1">
        <v>428.69355000000002</v>
      </c>
      <c r="Q40" s="1">
        <v>1793.6431</v>
      </c>
      <c r="R40" s="3">
        <v>2.3148148148148149E-4</v>
      </c>
      <c r="S40" s="1">
        <v>69.400700000000001</v>
      </c>
      <c r="T40" s="1">
        <v>9</v>
      </c>
      <c r="U40" s="1">
        <v>0</v>
      </c>
      <c r="V40" s="3">
        <v>0</v>
      </c>
      <c r="W40" s="1">
        <v>0</v>
      </c>
      <c r="X40" s="1">
        <v>0</v>
      </c>
      <c r="Y40" s="1">
        <v>0</v>
      </c>
      <c r="Z40" s="3">
        <v>0</v>
      </c>
      <c r="AA40" s="1">
        <v>8</v>
      </c>
      <c r="AB40" s="1">
        <v>7.0756800000000002</v>
      </c>
      <c r="AC40" s="3">
        <v>8.1018518518518516E-5</v>
      </c>
      <c r="AD40" s="1">
        <v>8</v>
      </c>
      <c r="AE40" s="1">
        <v>0</v>
      </c>
      <c r="AF40" s="1">
        <v>0</v>
      </c>
      <c r="AG40" s="3">
        <v>0</v>
      </c>
      <c r="AH40" s="1">
        <v>0</v>
      </c>
      <c r="AI40" s="1">
        <v>0</v>
      </c>
      <c r="AJ40" s="1">
        <v>0</v>
      </c>
      <c r="AK40" s="3">
        <v>0</v>
      </c>
      <c r="AL40" s="1">
        <v>0</v>
      </c>
      <c r="AM40" s="1">
        <v>3.1656300000000002</v>
      </c>
      <c r="AN40" s="1">
        <v>-2.6592899999999999</v>
      </c>
      <c r="AO40" s="1">
        <v>36.034559999999999</v>
      </c>
      <c r="AP40" s="1">
        <v>4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2280.6387399999999</v>
      </c>
      <c r="AZ40" s="1">
        <v>17</v>
      </c>
      <c r="BA40" s="1">
        <v>17</v>
      </c>
      <c r="BB40" s="1">
        <v>0</v>
      </c>
      <c r="BC40" s="1">
        <v>0</v>
      </c>
      <c r="BD40" s="1">
        <v>0</v>
      </c>
      <c r="BE40" s="1">
        <v>0</v>
      </c>
      <c r="BF40" s="1">
        <v>36.034559999999999</v>
      </c>
      <c r="BG40" s="1">
        <v>0</v>
      </c>
      <c r="BH40" s="1">
        <v>0</v>
      </c>
      <c r="BI40" s="1">
        <v>0</v>
      </c>
      <c r="BJ40" s="1">
        <v>4</v>
      </c>
      <c r="BK40" s="1">
        <v>0</v>
      </c>
      <c r="BL40" s="1">
        <v>143.07742999999999</v>
      </c>
      <c r="BM40" s="1">
        <v>0</v>
      </c>
      <c r="BN40" s="3">
        <v>0.1030787037037037</v>
      </c>
      <c r="BO40" s="1" t="s">
        <v>130</v>
      </c>
      <c r="BP40" s="1" t="s">
        <v>130</v>
      </c>
      <c r="BQ40" s="1" t="s">
        <v>130</v>
      </c>
      <c r="BR40" s="1">
        <v>7.91031</v>
      </c>
      <c r="BS40" s="1">
        <v>259</v>
      </c>
      <c r="BT40" s="1">
        <v>6.6609299999999996</v>
      </c>
      <c r="BU40" s="1">
        <v>29</v>
      </c>
      <c r="BV40" s="1">
        <v>7.9851900000000002</v>
      </c>
      <c r="BW40" s="1">
        <v>17.072220000000002</v>
      </c>
      <c r="BX40" s="1">
        <v>0</v>
      </c>
      <c r="BY40" s="1">
        <v>10</v>
      </c>
      <c r="BZ40" s="1">
        <v>5.79183</v>
      </c>
      <c r="CA40" s="1">
        <v>11.568379999999999</v>
      </c>
      <c r="CB40" s="1">
        <v>0</v>
      </c>
      <c r="CC40" s="1">
        <v>5</v>
      </c>
      <c r="CD40" s="1" t="s">
        <v>130</v>
      </c>
      <c r="CE40" s="1" t="s">
        <v>130</v>
      </c>
      <c r="CF40" s="1" t="s">
        <v>130</v>
      </c>
      <c r="CG40" s="1">
        <v>0</v>
      </c>
      <c r="CH40" s="1" t="s">
        <v>130</v>
      </c>
      <c r="CI40" s="1" t="s">
        <v>130</v>
      </c>
      <c r="CJ40" s="1" t="s">
        <v>130</v>
      </c>
      <c r="CK40" s="1">
        <v>0</v>
      </c>
      <c r="CL40" s="1" t="s">
        <v>130</v>
      </c>
      <c r="CM40" s="1" t="s">
        <v>130</v>
      </c>
      <c r="CN40" s="1" t="s">
        <v>130</v>
      </c>
      <c r="CO40" s="1">
        <v>0</v>
      </c>
      <c r="CP40" s="1">
        <v>7.8877199999999998</v>
      </c>
      <c r="CQ40" s="1">
        <v>259</v>
      </c>
      <c r="CR40" s="1">
        <v>6.7695800000000004</v>
      </c>
      <c r="CS40" s="1">
        <v>29</v>
      </c>
      <c r="CT40" s="1">
        <v>7.9655100000000001</v>
      </c>
      <c r="CU40" s="1">
        <v>17.072220000000002</v>
      </c>
      <c r="CV40" s="1">
        <v>0</v>
      </c>
      <c r="CW40" s="1">
        <v>10</v>
      </c>
      <c r="CX40" s="1">
        <v>5.79183</v>
      </c>
      <c r="CY40" s="1">
        <v>11.568379999999999</v>
      </c>
      <c r="CZ40" s="1">
        <v>0</v>
      </c>
      <c r="DA40" s="1">
        <v>5</v>
      </c>
      <c r="DB40" s="1" t="s">
        <v>130</v>
      </c>
      <c r="DC40" s="1" t="s">
        <v>130</v>
      </c>
      <c r="DD40" s="1" t="s">
        <v>130</v>
      </c>
      <c r="DE40" s="1">
        <v>0</v>
      </c>
      <c r="DF40" s="1" t="s">
        <v>130</v>
      </c>
      <c r="DG40" s="1" t="s">
        <v>130</v>
      </c>
      <c r="DH40" s="1" t="s">
        <v>130</v>
      </c>
      <c r="DI40" s="1">
        <v>0</v>
      </c>
      <c r="DJ40" s="1" t="s">
        <v>130</v>
      </c>
      <c r="DK40" s="1" t="s">
        <v>130</v>
      </c>
      <c r="DL40" s="1" t="s">
        <v>130</v>
      </c>
      <c r="DM40" s="1">
        <v>0</v>
      </c>
      <c r="DN40" s="1">
        <v>0</v>
      </c>
      <c r="DO40" s="1">
        <v>2.0950299999999999</v>
      </c>
      <c r="DP40" s="1">
        <v>4.5127899999999999</v>
      </c>
      <c r="DQ40" s="1">
        <v>0</v>
      </c>
      <c r="DR40" s="1">
        <v>0</v>
      </c>
      <c r="DS40" s="1">
        <v>4.7819700000000003</v>
      </c>
      <c r="DT40" s="1">
        <v>0.90663000000000005</v>
      </c>
      <c r="DU40" s="1">
        <v>2273.7314099999999</v>
      </c>
      <c r="DV40" s="1">
        <v>137.42667</v>
      </c>
      <c r="DW40" s="1">
        <v>17</v>
      </c>
      <c r="DX40" s="1">
        <v>0</v>
      </c>
      <c r="DY40" s="3">
        <v>0.1030787037037037</v>
      </c>
      <c r="DZ40" t="str">
        <f>IF(GPS_Table[[#This Row],[Max Vel (% Max)]] &gt;= 90, "YES", "NO")</f>
        <v>NO</v>
      </c>
    </row>
    <row r="41" spans="1:140" ht="14.25" customHeight="1" x14ac:dyDescent="0.2">
      <c r="A41" s="1" t="s">
        <v>182</v>
      </c>
      <c r="B41" s="1" t="s">
        <v>131</v>
      </c>
      <c r="C41" s="1" t="s">
        <v>129</v>
      </c>
      <c r="D41" s="1">
        <v>15.29997</v>
      </c>
      <c r="E41" s="1">
        <v>8.3307000000000002</v>
      </c>
      <c r="F41" s="1">
        <v>54.449100000000001</v>
      </c>
      <c r="G41" s="1">
        <v>0.12088</v>
      </c>
      <c r="H41" s="1">
        <v>151.16486</v>
      </c>
      <c r="I41" s="1">
        <v>2418.6377900000002</v>
      </c>
      <c r="J41" s="3">
        <v>6.4351851851851853E-3</v>
      </c>
      <c r="K41" s="3">
        <v>0.1030787037037037</v>
      </c>
      <c r="L41" s="1">
        <v>210.08216999999999</v>
      </c>
      <c r="M41" s="1">
        <v>13.130140000000001</v>
      </c>
      <c r="N41" s="1">
        <v>4.5393999999999997</v>
      </c>
      <c r="O41" s="1">
        <v>1.4151800000000001</v>
      </c>
      <c r="P41" s="1">
        <v>210.08216999999999</v>
      </c>
      <c r="Q41" s="1">
        <v>1076.6418900000001</v>
      </c>
      <c r="R41" s="3">
        <v>1.3888888888888889E-4</v>
      </c>
      <c r="S41" s="1">
        <v>31.988189999999999</v>
      </c>
      <c r="T41" s="1">
        <v>2</v>
      </c>
      <c r="U41" s="1">
        <v>0</v>
      </c>
      <c r="V41" s="3">
        <v>0</v>
      </c>
      <c r="W41" s="1">
        <v>0</v>
      </c>
      <c r="X41" s="1">
        <v>0</v>
      </c>
      <c r="Y41" s="1">
        <v>0</v>
      </c>
      <c r="Z41" s="3">
        <v>0</v>
      </c>
      <c r="AA41" s="1">
        <v>2</v>
      </c>
      <c r="AB41" s="1">
        <v>6.3429599999999997</v>
      </c>
      <c r="AC41" s="3">
        <v>3.4722222222222222E-5</v>
      </c>
      <c r="AD41" s="1">
        <v>2</v>
      </c>
      <c r="AE41" s="1">
        <v>0</v>
      </c>
      <c r="AF41" s="1">
        <v>0</v>
      </c>
      <c r="AG41" s="3">
        <v>0</v>
      </c>
      <c r="AH41" s="1">
        <v>0</v>
      </c>
      <c r="AI41" s="1">
        <v>0</v>
      </c>
      <c r="AJ41" s="1">
        <v>0</v>
      </c>
      <c r="AK41" s="3">
        <v>0</v>
      </c>
      <c r="AL41" s="1">
        <v>0</v>
      </c>
      <c r="AM41" s="1">
        <v>2.1730200000000002</v>
      </c>
      <c r="AN41" s="1">
        <v>-2.1865000000000001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1313.2134699999999</v>
      </c>
      <c r="AZ41" s="1">
        <v>4</v>
      </c>
      <c r="BA41" s="1">
        <v>4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86.204070000000002</v>
      </c>
      <c r="BM41" s="1">
        <v>0</v>
      </c>
      <c r="BN41" s="3">
        <v>0.1030787037037037</v>
      </c>
      <c r="BO41" s="1" t="s">
        <v>130</v>
      </c>
      <c r="BP41" s="1" t="s">
        <v>130</v>
      </c>
      <c r="BQ41" s="1" t="s">
        <v>130</v>
      </c>
      <c r="BR41" s="1">
        <v>6.4780699999999998</v>
      </c>
      <c r="BS41" s="1">
        <v>162</v>
      </c>
      <c r="BT41" s="1">
        <v>4.0216000000000003</v>
      </c>
      <c r="BU41" s="1">
        <v>15</v>
      </c>
      <c r="BV41" s="1">
        <v>3.40659</v>
      </c>
      <c r="BW41" s="1">
        <v>3.40659</v>
      </c>
      <c r="BX41" s="1">
        <v>0</v>
      </c>
      <c r="BY41" s="1">
        <v>1</v>
      </c>
      <c r="BZ41" s="1" t="s">
        <v>130</v>
      </c>
      <c r="CA41" s="1" t="s">
        <v>130</v>
      </c>
      <c r="CB41" s="1" t="s">
        <v>130</v>
      </c>
      <c r="CC41" s="1">
        <v>0</v>
      </c>
      <c r="CD41" s="1" t="s">
        <v>130</v>
      </c>
      <c r="CE41" s="1" t="s">
        <v>130</v>
      </c>
      <c r="CF41" s="1" t="s">
        <v>130</v>
      </c>
      <c r="CG41" s="1">
        <v>0</v>
      </c>
      <c r="CH41" s="1" t="s">
        <v>130</v>
      </c>
      <c r="CI41" s="1" t="s">
        <v>130</v>
      </c>
      <c r="CJ41" s="1" t="s">
        <v>130</v>
      </c>
      <c r="CK41" s="1">
        <v>0</v>
      </c>
      <c r="CL41" s="1" t="s">
        <v>130</v>
      </c>
      <c r="CM41" s="1" t="s">
        <v>130</v>
      </c>
      <c r="CN41" s="1" t="s">
        <v>130</v>
      </c>
      <c r="CO41" s="1">
        <v>0</v>
      </c>
      <c r="CP41" s="1">
        <v>6.5134999999999996</v>
      </c>
      <c r="CQ41" s="1">
        <v>161</v>
      </c>
      <c r="CR41" s="1">
        <v>4.0216000000000003</v>
      </c>
      <c r="CS41" s="1">
        <v>15</v>
      </c>
      <c r="CT41" s="1">
        <v>3.40659</v>
      </c>
      <c r="CU41" s="1">
        <v>3.40659</v>
      </c>
      <c r="CV41" s="1">
        <v>0</v>
      </c>
      <c r="CW41" s="1">
        <v>1</v>
      </c>
      <c r="CX41" s="1" t="s">
        <v>130</v>
      </c>
      <c r="CY41" s="1" t="s">
        <v>130</v>
      </c>
      <c r="CZ41" s="1" t="s">
        <v>130</v>
      </c>
      <c r="DA41" s="1">
        <v>0</v>
      </c>
      <c r="DB41" s="1" t="s">
        <v>130</v>
      </c>
      <c r="DC41" s="1" t="s">
        <v>130</v>
      </c>
      <c r="DD41" s="1" t="s">
        <v>130</v>
      </c>
      <c r="DE41" s="1">
        <v>0</v>
      </c>
      <c r="DF41" s="1" t="s">
        <v>130</v>
      </c>
      <c r="DG41" s="1" t="s">
        <v>130</v>
      </c>
      <c r="DH41" s="1" t="s">
        <v>130</v>
      </c>
      <c r="DI41" s="1">
        <v>0</v>
      </c>
      <c r="DJ41" s="1" t="s">
        <v>130</v>
      </c>
      <c r="DK41" s="1" t="s">
        <v>130</v>
      </c>
      <c r="DL41" s="1" t="s">
        <v>130</v>
      </c>
      <c r="DM41" s="1">
        <v>0</v>
      </c>
      <c r="DN41" s="1">
        <v>0</v>
      </c>
      <c r="DO41" s="1">
        <v>0</v>
      </c>
      <c r="DP41" s="1">
        <v>4.4514399999999998</v>
      </c>
      <c r="DQ41" s="1">
        <v>0</v>
      </c>
      <c r="DR41" s="1">
        <v>0</v>
      </c>
      <c r="DS41" s="1">
        <v>5.4740500000000001</v>
      </c>
      <c r="DT41" s="1">
        <v>0</v>
      </c>
      <c r="DU41" s="1">
        <v>1309.7769000000001</v>
      </c>
      <c r="DV41" s="1">
        <v>142.90666999999999</v>
      </c>
      <c r="DW41" s="1">
        <v>4</v>
      </c>
      <c r="DX41" s="1">
        <v>0</v>
      </c>
      <c r="DY41" s="3">
        <v>0.1030787037037037</v>
      </c>
      <c r="DZ41" t="str">
        <f>IF(GPS_Table[[#This Row],[Max Vel (% Max)]] &gt;= 90, "YES", "NO")</f>
        <v>NO</v>
      </c>
    </row>
    <row r="42" spans="1:140" ht="14.25" customHeight="1" x14ac:dyDescent="0.2">
      <c r="A42" s="1" t="s">
        <v>183</v>
      </c>
      <c r="B42" s="1" t="s">
        <v>139</v>
      </c>
      <c r="C42" s="1" t="s">
        <v>129</v>
      </c>
      <c r="D42" s="1">
        <v>19.7</v>
      </c>
      <c r="E42" s="1">
        <v>18.007339999999999</v>
      </c>
      <c r="F42" s="1">
        <v>91.407820000000001</v>
      </c>
      <c r="G42" s="1">
        <v>0.23568</v>
      </c>
      <c r="H42" s="1">
        <v>328.92950000000002</v>
      </c>
      <c r="I42" s="1">
        <v>5262.8720000000003</v>
      </c>
      <c r="J42" s="3">
        <v>6.4351851851851853E-3</v>
      </c>
      <c r="K42" s="3">
        <v>0.1030787037037037</v>
      </c>
      <c r="L42" s="1">
        <v>443.08731999999998</v>
      </c>
      <c r="M42" s="1">
        <v>27.692959999999999</v>
      </c>
      <c r="N42" s="1">
        <v>4.9900500000000001</v>
      </c>
      <c r="O42" s="1">
        <v>2.9847700000000001</v>
      </c>
      <c r="P42" s="1">
        <v>443.08731999999998</v>
      </c>
      <c r="Q42" s="1">
        <v>2099.1537199999998</v>
      </c>
      <c r="R42" s="3">
        <v>5.5555555555555556E-4</v>
      </c>
      <c r="S42" s="1">
        <v>193.72265999999999</v>
      </c>
      <c r="T42" s="1">
        <v>35</v>
      </c>
      <c r="U42" s="1">
        <v>11</v>
      </c>
      <c r="V42" s="3">
        <v>1.3888888888888889E-4</v>
      </c>
      <c r="W42" s="1">
        <v>69.302269999999993</v>
      </c>
      <c r="X42" s="1">
        <v>0</v>
      </c>
      <c r="Y42" s="1">
        <v>2.4496899999999999</v>
      </c>
      <c r="Z42" s="3">
        <v>0</v>
      </c>
      <c r="AA42" s="1">
        <v>23</v>
      </c>
      <c r="AB42" s="1">
        <v>42.104109999999999</v>
      </c>
      <c r="AC42" s="3">
        <v>3.1250000000000001E-4</v>
      </c>
      <c r="AD42" s="1">
        <v>23</v>
      </c>
      <c r="AE42" s="1">
        <v>2</v>
      </c>
      <c r="AF42" s="1">
        <v>6.7038500000000001</v>
      </c>
      <c r="AG42" s="3">
        <v>2.3148148148148147E-5</v>
      </c>
      <c r="AH42" s="1">
        <v>2</v>
      </c>
      <c r="AI42" s="1">
        <v>1</v>
      </c>
      <c r="AJ42" s="1">
        <v>0.51400000000000001</v>
      </c>
      <c r="AK42" s="3">
        <v>0</v>
      </c>
      <c r="AL42" s="1">
        <v>1</v>
      </c>
      <c r="AM42" s="1">
        <v>4.4194899999999997</v>
      </c>
      <c r="AN42" s="1">
        <v>-5.1489500000000001</v>
      </c>
      <c r="AO42" s="1">
        <v>86.264219999999995</v>
      </c>
      <c r="AP42" s="1">
        <v>7</v>
      </c>
      <c r="AQ42" s="1">
        <v>15.32152</v>
      </c>
      <c r="AR42" s="1">
        <v>2</v>
      </c>
      <c r="AS42" s="1">
        <v>32.895879999999998</v>
      </c>
      <c r="AT42" s="1">
        <v>22.615919999999999</v>
      </c>
      <c r="AU42" s="1">
        <v>2</v>
      </c>
      <c r="AV42" s="1">
        <v>1</v>
      </c>
      <c r="AW42" s="1">
        <v>10.279960000000001</v>
      </c>
      <c r="AX42" s="1">
        <v>1</v>
      </c>
      <c r="AY42" s="1">
        <v>2456.83527</v>
      </c>
      <c r="AZ42" s="1">
        <v>72</v>
      </c>
      <c r="BA42" s="1">
        <v>72</v>
      </c>
      <c r="BB42" s="1">
        <v>14</v>
      </c>
      <c r="BC42" s="1">
        <v>14</v>
      </c>
      <c r="BD42" s="1">
        <v>11</v>
      </c>
      <c r="BE42" s="1">
        <v>3</v>
      </c>
      <c r="BF42" s="1">
        <v>134.48161999999999</v>
      </c>
      <c r="BG42" s="1">
        <v>48.217399999999998</v>
      </c>
      <c r="BH42" s="1">
        <v>32.895879999999998</v>
      </c>
      <c r="BI42" s="1">
        <v>10.279960000000001</v>
      </c>
      <c r="BJ42" s="1">
        <v>12</v>
      </c>
      <c r="BK42" s="1">
        <v>0</v>
      </c>
      <c r="BL42" s="1">
        <v>183.92052000000001</v>
      </c>
      <c r="BM42" s="1">
        <v>1</v>
      </c>
      <c r="BN42" s="3">
        <v>0.1030787037037037</v>
      </c>
      <c r="BO42" s="1" t="s">
        <v>130</v>
      </c>
      <c r="BP42" s="1" t="s">
        <v>130</v>
      </c>
      <c r="BQ42" s="1" t="s">
        <v>130</v>
      </c>
      <c r="BR42" s="1">
        <v>10.11936</v>
      </c>
      <c r="BS42" s="1">
        <v>213</v>
      </c>
      <c r="BT42" s="1">
        <v>11.70326</v>
      </c>
      <c r="BU42" s="1">
        <v>47</v>
      </c>
      <c r="BV42" s="1">
        <v>12.34995</v>
      </c>
      <c r="BW42" s="1">
        <v>41.478540000000002</v>
      </c>
      <c r="BX42" s="1">
        <v>0</v>
      </c>
      <c r="BY42" s="1">
        <v>20</v>
      </c>
      <c r="BZ42" s="1">
        <v>18.64715</v>
      </c>
      <c r="CA42" s="1">
        <v>37.134529999999998</v>
      </c>
      <c r="CB42" s="1">
        <v>7.74153</v>
      </c>
      <c r="CC42" s="1">
        <v>7</v>
      </c>
      <c r="CD42" s="1">
        <v>22.806750000000001</v>
      </c>
      <c r="CE42" s="1">
        <v>29.38739</v>
      </c>
      <c r="CF42" s="1">
        <v>16.226109999999998</v>
      </c>
      <c r="CG42" s="1">
        <v>2</v>
      </c>
      <c r="CH42" s="1">
        <v>15.33248</v>
      </c>
      <c r="CI42" s="1">
        <v>18.490770000000001</v>
      </c>
      <c r="CJ42" s="1">
        <v>12.174189999999999</v>
      </c>
      <c r="CK42" s="1">
        <v>2</v>
      </c>
      <c r="CL42" s="1">
        <v>7.7482100000000003</v>
      </c>
      <c r="CM42" s="1">
        <v>7.7482100000000003</v>
      </c>
      <c r="CN42" s="1">
        <v>7.7482100000000003</v>
      </c>
      <c r="CO42" s="1">
        <v>1</v>
      </c>
      <c r="CP42" s="1">
        <v>10.11936</v>
      </c>
      <c r="CQ42" s="1">
        <v>213</v>
      </c>
      <c r="CR42" s="1">
        <v>11.70326</v>
      </c>
      <c r="CS42" s="1">
        <v>47</v>
      </c>
      <c r="CT42" s="1">
        <v>12.34995</v>
      </c>
      <c r="CU42" s="1">
        <v>41.478540000000002</v>
      </c>
      <c r="CV42" s="1">
        <v>0</v>
      </c>
      <c r="CW42" s="1">
        <v>20</v>
      </c>
      <c r="CX42" s="1">
        <v>18.64715</v>
      </c>
      <c r="CY42" s="1">
        <v>37.134529999999998</v>
      </c>
      <c r="CZ42" s="1">
        <v>7.74153</v>
      </c>
      <c r="DA42" s="1">
        <v>7</v>
      </c>
      <c r="DB42" s="1">
        <v>22.806750000000001</v>
      </c>
      <c r="DC42" s="1">
        <v>29.38739</v>
      </c>
      <c r="DD42" s="1">
        <v>16.226109999999998</v>
      </c>
      <c r="DE42" s="1">
        <v>2</v>
      </c>
      <c r="DF42" s="1">
        <v>15.33248</v>
      </c>
      <c r="DG42" s="1">
        <v>18.490770000000001</v>
      </c>
      <c r="DH42" s="1">
        <v>12.174189999999999</v>
      </c>
      <c r="DI42" s="1">
        <v>2</v>
      </c>
      <c r="DJ42" s="1">
        <v>7.7482100000000003</v>
      </c>
      <c r="DK42" s="1">
        <v>7.7482100000000003</v>
      </c>
      <c r="DL42" s="1">
        <v>7.7482100000000003</v>
      </c>
      <c r="DM42" s="1">
        <v>1</v>
      </c>
      <c r="DN42" s="1">
        <v>32.895879999999998</v>
      </c>
      <c r="DO42" s="1">
        <v>38.295430000000003</v>
      </c>
      <c r="DP42" s="1">
        <v>3.98861</v>
      </c>
      <c r="DQ42" s="1">
        <v>78.969809999999995</v>
      </c>
      <c r="DR42" s="1">
        <v>14</v>
      </c>
      <c r="DS42" s="1">
        <v>12.52575</v>
      </c>
      <c r="DT42" s="1">
        <v>2.5552899999999998</v>
      </c>
      <c r="DU42" s="1">
        <v>2478.6854600000001</v>
      </c>
      <c r="DV42" s="1">
        <v>135.21333000000001</v>
      </c>
      <c r="DW42" s="1">
        <v>72</v>
      </c>
      <c r="DX42" s="1">
        <v>0</v>
      </c>
      <c r="DY42" s="3">
        <v>0.1030787037037037</v>
      </c>
      <c r="DZ42" t="str">
        <f>IF(GPS_Table[[#This Row],[Max Vel (% Max)]] &gt;= 90, "YES", "NO")</f>
        <v>YES</v>
      </c>
    </row>
    <row r="43" spans="1:140" ht="14.25" customHeight="1" x14ac:dyDescent="0.2">
      <c r="A43" s="1" t="s">
        <v>184</v>
      </c>
      <c r="B43" s="1" t="s">
        <v>139</v>
      </c>
      <c r="C43" s="1" t="s">
        <v>129</v>
      </c>
      <c r="D43" s="1">
        <v>19.5</v>
      </c>
      <c r="E43" s="1">
        <v>14.24033</v>
      </c>
      <c r="F43" s="1">
        <v>73.027339999999995</v>
      </c>
      <c r="G43" s="1">
        <v>0.20877000000000001</v>
      </c>
      <c r="H43" s="1">
        <v>282.24856999999997</v>
      </c>
      <c r="I43" s="1">
        <v>4515.9770799999997</v>
      </c>
      <c r="J43" s="3">
        <v>6.4351851851851853E-3</v>
      </c>
      <c r="K43" s="3">
        <v>0.1030787037037037</v>
      </c>
      <c r="L43" s="1">
        <v>378.27402999999998</v>
      </c>
      <c r="M43" s="1">
        <v>23.642130000000002</v>
      </c>
      <c r="N43" s="1">
        <v>4.8596700000000004</v>
      </c>
      <c r="O43" s="1">
        <v>2.5481699999999998</v>
      </c>
      <c r="P43" s="1">
        <v>378.27402999999998</v>
      </c>
      <c r="Q43" s="1">
        <v>1859.5011099999999</v>
      </c>
      <c r="R43" s="3">
        <v>3.4722222222222224E-4</v>
      </c>
      <c r="S43" s="1">
        <v>100.22966</v>
      </c>
      <c r="T43" s="1">
        <v>21</v>
      </c>
      <c r="U43" s="1">
        <v>4</v>
      </c>
      <c r="V43" s="3">
        <v>5.7870370370370373E-5</v>
      </c>
      <c r="W43" s="1">
        <v>29.37445</v>
      </c>
      <c r="X43" s="1">
        <v>0</v>
      </c>
      <c r="Y43" s="1">
        <v>0.51400000000000001</v>
      </c>
      <c r="Z43" s="3">
        <v>0</v>
      </c>
      <c r="AA43" s="1">
        <v>12</v>
      </c>
      <c r="AB43" s="1">
        <v>17.060369999999999</v>
      </c>
      <c r="AC43" s="3">
        <v>1.3888888888888889E-4</v>
      </c>
      <c r="AD43" s="1">
        <v>12</v>
      </c>
      <c r="AE43" s="1">
        <v>0</v>
      </c>
      <c r="AF43" s="1">
        <v>0.88583000000000001</v>
      </c>
      <c r="AG43" s="3">
        <v>1.1574074074074073E-5</v>
      </c>
      <c r="AH43" s="1">
        <v>0</v>
      </c>
      <c r="AI43" s="1">
        <v>0</v>
      </c>
      <c r="AJ43" s="1">
        <v>0</v>
      </c>
      <c r="AK43" s="3">
        <v>0</v>
      </c>
      <c r="AL43" s="1">
        <v>0</v>
      </c>
      <c r="AM43" s="1">
        <v>4.3968600000000002</v>
      </c>
      <c r="AN43" s="1">
        <v>-3.4629500000000002</v>
      </c>
      <c r="AO43" s="1">
        <v>17.388449999999999</v>
      </c>
      <c r="AP43" s="1">
        <v>2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2090.3537299999998</v>
      </c>
      <c r="AZ43" s="1">
        <v>37</v>
      </c>
      <c r="BA43" s="1">
        <v>37</v>
      </c>
      <c r="BB43" s="1">
        <v>4</v>
      </c>
      <c r="BC43" s="1">
        <v>4</v>
      </c>
      <c r="BD43" s="1">
        <v>4</v>
      </c>
      <c r="BE43" s="1">
        <v>0</v>
      </c>
      <c r="BF43" s="1">
        <v>17.388449999999999</v>
      </c>
      <c r="BG43" s="1">
        <v>0</v>
      </c>
      <c r="BH43" s="1">
        <v>0</v>
      </c>
      <c r="BI43" s="1">
        <v>0</v>
      </c>
      <c r="BJ43" s="1">
        <v>2</v>
      </c>
      <c r="BK43" s="1">
        <v>0</v>
      </c>
      <c r="BL43" s="1">
        <v>158.1816</v>
      </c>
      <c r="BM43" s="1">
        <v>0</v>
      </c>
      <c r="BN43" s="3">
        <v>0.1030787037037037</v>
      </c>
      <c r="BO43" s="1" t="s">
        <v>130</v>
      </c>
      <c r="BP43" s="1" t="s">
        <v>130</v>
      </c>
      <c r="BQ43" s="1" t="s">
        <v>130</v>
      </c>
      <c r="BR43" s="1">
        <v>8.2565799999999996</v>
      </c>
      <c r="BS43" s="1">
        <v>204</v>
      </c>
      <c r="BT43" s="1">
        <v>11.410640000000001</v>
      </c>
      <c r="BU43" s="1">
        <v>24</v>
      </c>
      <c r="BV43" s="1">
        <v>9.2194599999999998</v>
      </c>
      <c r="BW43" s="1">
        <v>25.842320000000001</v>
      </c>
      <c r="BX43" s="1">
        <v>0</v>
      </c>
      <c r="BY43" s="1">
        <v>11</v>
      </c>
      <c r="BZ43" s="1">
        <v>7.1203700000000003</v>
      </c>
      <c r="CA43" s="1">
        <v>8.8340800000000002</v>
      </c>
      <c r="CB43" s="1">
        <v>0</v>
      </c>
      <c r="CC43" s="1">
        <v>2</v>
      </c>
      <c r="CD43" s="1" t="s">
        <v>130</v>
      </c>
      <c r="CE43" s="1" t="s">
        <v>130</v>
      </c>
      <c r="CF43" s="1" t="s">
        <v>130</v>
      </c>
      <c r="CG43" s="1">
        <v>0</v>
      </c>
      <c r="CH43" s="1" t="s">
        <v>130</v>
      </c>
      <c r="CI43" s="1" t="s">
        <v>130</v>
      </c>
      <c r="CJ43" s="1" t="s">
        <v>130</v>
      </c>
      <c r="CK43" s="1">
        <v>0</v>
      </c>
      <c r="CL43" s="1" t="s">
        <v>130</v>
      </c>
      <c r="CM43" s="1" t="s">
        <v>130</v>
      </c>
      <c r="CN43" s="1" t="s">
        <v>130</v>
      </c>
      <c r="CO43" s="1">
        <v>0</v>
      </c>
      <c r="CP43" s="1">
        <v>8.1239000000000008</v>
      </c>
      <c r="CQ43" s="1">
        <v>210</v>
      </c>
      <c r="CR43" s="1">
        <v>10.93439</v>
      </c>
      <c r="CS43" s="1">
        <v>26</v>
      </c>
      <c r="CT43" s="1">
        <v>10.03384</v>
      </c>
      <c r="CU43" s="1">
        <v>39.91675</v>
      </c>
      <c r="CV43" s="1">
        <v>0</v>
      </c>
      <c r="CW43" s="1">
        <v>11</v>
      </c>
      <c r="CX43" s="1">
        <v>7.3402399999999997</v>
      </c>
      <c r="CY43" s="1">
        <v>8.8340800000000002</v>
      </c>
      <c r="CZ43" s="1">
        <v>0</v>
      </c>
      <c r="DA43" s="1">
        <v>2</v>
      </c>
      <c r="DB43" s="1" t="s">
        <v>130</v>
      </c>
      <c r="DC43" s="1" t="s">
        <v>130</v>
      </c>
      <c r="DD43" s="1" t="s">
        <v>130</v>
      </c>
      <c r="DE43" s="1">
        <v>0</v>
      </c>
      <c r="DF43" s="1" t="s">
        <v>130</v>
      </c>
      <c r="DG43" s="1" t="s">
        <v>130</v>
      </c>
      <c r="DH43" s="1" t="s">
        <v>130</v>
      </c>
      <c r="DI43" s="1">
        <v>0</v>
      </c>
      <c r="DJ43" s="1" t="s">
        <v>130</v>
      </c>
      <c r="DK43" s="1" t="s">
        <v>130</v>
      </c>
      <c r="DL43" s="1" t="s">
        <v>130</v>
      </c>
      <c r="DM43" s="1">
        <v>0</v>
      </c>
      <c r="DN43" s="1">
        <v>0</v>
      </c>
      <c r="DO43" s="1">
        <v>9.9417600000000004</v>
      </c>
      <c r="DP43" s="1">
        <v>4.11761</v>
      </c>
      <c r="DQ43" s="1">
        <v>30.774280000000001</v>
      </c>
      <c r="DR43" s="1">
        <v>4</v>
      </c>
      <c r="DS43" s="1">
        <v>15.068440000000001</v>
      </c>
      <c r="DT43" s="1">
        <v>0.38503999999999999</v>
      </c>
      <c r="DU43" s="1">
        <v>2085.30186</v>
      </c>
      <c r="DV43" s="1">
        <v>138.13833</v>
      </c>
      <c r="DW43" s="1">
        <v>37</v>
      </c>
      <c r="DX43" s="1">
        <v>0</v>
      </c>
      <c r="DY43" s="3">
        <v>0.1030787037037037</v>
      </c>
      <c r="DZ43" t="str">
        <f>IF(GPS_Table[[#This Row],[Max Vel (% Max)]] &gt;= 90, "YES", "NO")</f>
        <v>NO</v>
      </c>
    </row>
    <row r="44" spans="1:140" ht="14.25" customHeight="1" x14ac:dyDescent="0.2">
      <c r="A44" s="1" t="s">
        <v>185</v>
      </c>
      <c r="B44" s="1" t="s">
        <v>139</v>
      </c>
      <c r="C44" s="1" t="s">
        <v>129</v>
      </c>
      <c r="D44" s="1">
        <v>20.599989999999998</v>
      </c>
      <c r="E44" s="1">
        <v>18.07178</v>
      </c>
      <c r="F44" s="1">
        <v>87.727130000000002</v>
      </c>
      <c r="G44" s="1">
        <v>0.20568</v>
      </c>
      <c r="H44" s="1">
        <v>289.64945999999998</v>
      </c>
      <c r="I44" s="1">
        <v>4634.3914000000004</v>
      </c>
      <c r="J44" s="3">
        <v>6.4351851851851853E-3</v>
      </c>
      <c r="K44" s="3">
        <v>0.1030787037037037</v>
      </c>
      <c r="L44" s="1">
        <v>369.80642</v>
      </c>
      <c r="M44" s="1">
        <v>23.1129</v>
      </c>
      <c r="N44" s="1">
        <v>4.1802099999999998</v>
      </c>
      <c r="O44" s="1">
        <v>2.4911300000000001</v>
      </c>
      <c r="P44" s="1">
        <v>369.80642</v>
      </c>
      <c r="Q44" s="1">
        <v>1832.00479</v>
      </c>
      <c r="R44" s="3">
        <v>5.5555555555555556E-4</v>
      </c>
      <c r="S44" s="1">
        <v>198.55643000000001</v>
      </c>
      <c r="T44" s="1">
        <v>29</v>
      </c>
      <c r="U44" s="1">
        <v>10</v>
      </c>
      <c r="V44" s="3">
        <v>9.2592592592592588E-5</v>
      </c>
      <c r="W44" s="1">
        <v>46.041119999999999</v>
      </c>
      <c r="X44" s="1">
        <v>0</v>
      </c>
      <c r="Y44" s="1">
        <v>0.54681000000000002</v>
      </c>
      <c r="Z44" s="3">
        <v>0</v>
      </c>
      <c r="AA44" s="1">
        <v>14</v>
      </c>
      <c r="AB44" s="1">
        <v>18.044619999999998</v>
      </c>
      <c r="AC44" s="3">
        <v>2.5462962962962961E-4</v>
      </c>
      <c r="AD44" s="1">
        <v>14</v>
      </c>
      <c r="AE44" s="1">
        <v>0</v>
      </c>
      <c r="AF44" s="1">
        <v>0.79834000000000005</v>
      </c>
      <c r="AG44" s="3">
        <v>1.1574074074074073E-5</v>
      </c>
      <c r="AH44" s="1">
        <v>0</v>
      </c>
      <c r="AI44" s="1">
        <v>0</v>
      </c>
      <c r="AJ44" s="1">
        <v>0</v>
      </c>
      <c r="AK44" s="3">
        <v>0</v>
      </c>
      <c r="AL44" s="1">
        <v>0</v>
      </c>
      <c r="AM44" s="1">
        <v>4.5879200000000004</v>
      </c>
      <c r="AN44" s="1">
        <v>-3.47126</v>
      </c>
      <c r="AO44" s="1">
        <v>118.3399</v>
      </c>
      <c r="AP44" s="1">
        <v>8</v>
      </c>
      <c r="AQ44" s="1">
        <v>34.55818</v>
      </c>
      <c r="AR44" s="1">
        <v>4</v>
      </c>
      <c r="AS44" s="1">
        <v>30.347770000000001</v>
      </c>
      <c r="AT44" s="1">
        <v>30.347770000000001</v>
      </c>
      <c r="AU44" s="1">
        <v>2</v>
      </c>
      <c r="AV44" s="1">
        <v>0</v>
      </c>
      <c r="AW44" s="1">
        <v>0</v>
      </c>
      <c r="AX44" s="1">
        <v>0</v>
      </c>
      <c r="AY44" s="1">
        <v>2697.7553699999999</v>
      </c>
      <c r="AZ44" s="1">
        <v>53</v>
      </c>
      <c r="BA44" s="1">
        <v>53</v>
      </c>
      <c r="BB44" s="1">
        <v>10</v>
      </c>
      <c r="BC44" s="1">
        <v>10</v>
      </c>
      <c r="BD44" s="1">
        <v>10</v>
      </c>
      <c r="BE44" s="1">
        <v>0</v>
      </c>
      <c r="BF44" s="1">
        <v>183.24584999999999</v>
      </c>
      <c r="BG44" s="1">
        <v>64.905950000000004</v>
      </c>
      <c r="BH44" s="1">
        <v>30.347770000000001</v>
      </c>
      <c r="BI44" s="1">
        <v>0</v>
      </c>
      <c r="BJ44" s="1">
        <v>14</v>
      </c>
      <c r="BK44" s="1">
        <v>0</v>
      </c>
      <c r="BL44" s="1">
        <v>157.55624</v>
      </c>
      <c r="BM44" s="1">
        <v>0</v>
      </c>
      <c r="BN44" s="3">
        <v>0.1030787037037037</v>
      </c>
      <c r="BO44" s="1" t="s">
        <v>130</v>
      </c>
      <c r="BP44" s="1" t="s">
        <v>130</v>
      </c>
      <c r="BQ44" s="1" t="s">
        <v>130</v>
      </c>
      <c r="BR44" s="1">
        <v>12.82183</v>
      </c>
      <c r="BS44" s="1">
        <v>186</v>
      </c>
      <c r="BT44" s="1">
        <v>18.70542</v>
      </c>
      <c r="BU44" s="1">
        <v>45</v>
      </c>
      <c r="BV44" s="1">
        <v>18.643719999999998</v>
      </c>
      <c r="BW44" s="1">
        <v>71.304599999999994</v>
      </c>
      <c r="BX44" s="1">
        <v>2.9342800000000002</v>
      </c>
      <c r="BY44" s="1">
        <v>23</v>
      </c>
      <c r="BZ44" s="1">
        <v>22.427389999999999</v>
      </c>
      <c r="CA44" s="1">
        <v>45.754469999999998</v>
      </c>
      <c r="CB44" s="1">
        <v>7.5108499999999996</v>
      </c>
      <c r="CC44" s="1">
        <v>8</v>
      </c>
      <c r="CD44" s="1">
        <v>18.067229999999999</v>
      </c>
      <c r="CE44" s="1">
        <v>28.033719999999999</v>
      </c>
      <c r="CF44" s="1">
        <v>0</v>
      </c>
      <c r="CG44" s="1">
        <v>3</v>
      </c>
      <c r="CH44" s="1">
        <v>13.63946</v>
      </c>
      <c r="CI44" s="1">
        <v>19.100850000000001</v>
      </c>
      <c r="CJ44" s="1">
        <v>8.17807</v>
      </c>
      <c r="CK44" s="1">
        <v>2</v>
      </c>
      <c r="CL44" s="1" t="s">
        <v>130</v>
      </c>
      <c r="CM44" s="1" t="s">
        <v>130</v>
      </c>
      <c r="CN44" s="1" t="s">
        <v>130</v>
      </c>
      <c r="CO44" s="1">
        <v>0</v>
      </c>
      <c r="CP44" s="1">
        <v>12.701029999999999</v>
      </c>
      <c r="CQ44" s="1">
        <v>188</v>
      </c>
      <c r="CR44" s="1">
        <v>18.669070000000001</v>
      </c>
      <c r="CS44" s="1">
        <v>45</v>
      </c>
      <c r="CT44" s="1">
        <v>18.709630000000001</v>
      </c>
      <c r="CU44" s="1">
        <v>71.304599999999994</v>
      </c>
      <c r="CV44" s="1">
        <v>2.9342800000000002</v>
      </c>
      <c r="CW44" s="1">
        <v>23</v>
      </c>
      <c r="CX44" s="1">
        <v>22.427389999999999</v>
      </c>
      <c r="CY44" s="1">
        <v>45.754469999999998</v>
      </c>
      <c r="CZ44" s="1">
        <v>7.5108499999999996</v>
      </c>
      <c r="DA44" s="1">
        <v>8</v>
      </c>
      <c r="DB44" s="1">
        <v>18.067229999999999</v>
      </c>
      <c r="DC44" s="1">
        <v>28.033719999999999</v>
      </c>
      <c r="DD44" s="1">
        <v>0</v>
      </c>
      <c r="DE44" s="1">
        <v>3</v>
      </c>
      <c r="DF44" s="1">
        <v>13.63946</v>
      </c>
      <c r="DG44" s="1">
        <v>19.100850000000001</v>
      </c>
      <c r="DH44" s="1">
        <v>8.17807</v>
      </c>
      <c r="DI44" s="1">
        <v>2</v>
      </c>
      <c r="DJ44" s="1" t="s">
        <v>130</v>
      </c>
      <c r="DK44" s="1" t="s">
        <v>130</v>
      </c>
      <c r="DL44" s="1" t="s">
        <v>130</v>
      </c>
      <c r="DM44" s="1">
        <v>0</v>
      </c>
      <c r="DN44" s="1">
        <v>30.347770000000001</v>
      </c>
      <c r="DO44" s="1">
        <v>31.804569999999998</v>
      </c>
      <c r="DP44" s="1">
        <v>3.9530599999999998</v>
      </c>
      <c r="DQ44" s="1">
        <v>47.386270000000003</v>
      </c>
      <c r="DR44" s="1">
        <v>10</v>
      </c>
      <c r="DS44" s="1">
        <v>4.5970000000000004</v>
      </c>
      <c r="DT44" s="1">
        <v>3.95404</v>
      </c>
      <c r="DU44" s="1">
        <v>2687.5109499999999</v>
      </c>
      <c r="DV44" s="1">
        <v>137.76167000000001</v>
      </c>
      <c r="DW44" s="1">
        <v>53</v>
      </c>
      <c r="DX44" s="1">
        <v>0</v>
      </c>
      <c r="DY44" s="3">
        <v>0.1030787037037037</v>
      </c>
      <c r="DZ44" t="str">
        <f>IF(GPS_Table[[#This Row],[Max Vel (% Max)]] &gt;= 90, "YES", "NO")</f>
        <v>NO</v>
      </c>
    </row>
    <row r="45" spans="1:140" ht="14.25" customHeight="1" x14ac:dyDescent="0.2">
      <c r="A45" s="1" t="s">
        <v>186</v>
      </c>
      <c r="B45" s="1" t="s">
        <v>139</v>
      </c>
      <c r="C45" s="1" t="s">
        <v>129</v>
      </c>
      <c r="D45" s="1">
        <v>20.599989999999998</v>
      </c>
      <c r="E45" s="1">
        <v>16.968399999999999</v>
      </c>
      <c r="F45" s="1">
        <v>82.370919999999998</v>
      </c>
      <c r="G45" s="1">
        <v>0.22355</v>
      </c>
      <c r="H45" s="1">
        <v>314.50065000000001</v>
      </c>
      <c r="I45" s="1">
        <v>5032.0104199999996</v>
      </c>
      <c r="J45" s="3">
        <v>6.4351851851851853E-3</v>
      </c>
      <c r="K45" s="3">
        <v>0.1030787037037037</v>
      </c>
      <c r="L45" s="1">
        <v>428.98352999999997</v>
      </c>
      <c r="M45" s="1">
        <v>26.81147</v>
      </c>
      <c r="N45" s="1">
        <v>4.0481400000000001</v>
      </c>
      <c r="O45" s="1">
        <v>2.8897699999999999</v>
      </c>
      <c r="P45" s="1">
        <v>428.98352999999997</v>
      </c>
      <c r="Q45" s="1">
        <v>1991.11121</v>
      </c>
      <c r="R45" s="3">
        <v>4.861111111111111E-4</v>
      </c>
      <c r="S45" s="1">
        <v>175.03281000000001</v>
      </c>
      <c r="T45" s="1">
        <v>21</v>
      </c>
      <c r="U45" s="1">
        <v>11</v>
      </c>
      <c r="V45" s="3">
        <v>8.1018518518518516E-5</v>
      </c>
      <c r="W45" s="1">
        <v>42.989939999999997</v>
      </c>
      <c r="X45" s="1">
        <v>0</v>
      </c>
      <c r="Y45" s="1">
        <v>0</v>
      </c>
      <c r="Z45" s="3">
        <v>0</v>
      </c>
      <c r="AA45" s="1">
        <v>9</v>
      </c>
      <c r="AB45" s="1">
        <v>16.786960000000001</v>
      </c>
      <c r="AC45" s="3">
        <v>1.5046296296296297E-4</v>
      </c>
      <c r="AD45" s="1">
        <v>9</v>
      </c>
      <c r="AE45" s="1">
        <v>0</v>
      </c>
      <c r="AF45" s="1">
        <v>0.15311</v>
      </c>
      <c r="AG45" s="3">
        <v>0</v>
      </c>
      <c r="AH45" s="1">
        <v>0</v>
      </c>
      <c r="AI45" s="1">
        <v>0</v>
      </c>
      <c r="AJ45" s="1">
        <v>0</v>
      </c>
      <c r="AK45" s="3">
        <v>0</v>
      </c>
      <c r="AL45" s="1">
        <v>0</v>
      </c>
      <c r="AM45" s="1">
        <v>4.4554200000000002</v>
      </c>
      <c r="AN45" s="1">
        <v>-3.3626</v>
      </c>
      <c r="AO45" s="1">
        <v>80.325900000000004</v>
      </c>
      <c r="AP45" s="1">
        <v>9</v>
      </c>
      <c r="AQ45" s="1">
        <v>21.259840000000001</v>
      </c>
      <c r="AR45" s="1">
        <v>1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2166.0655099999999</v>
      </c>
      <c r="AZ45" s="1">
        <v>41</v>
      </c>
      <c r="BA45" s="1">
        <v>41</v>
      </c>
      <c r="BB45" s="1">
        <v>11</v>
      </c>
      <c r="BC45" s="1">
        <v>11</v>
      </c>
      <c r="BD45" s="1">
        <v>11</v>
      </c>
      <c r="BE45" s="1">
        <v>0</v>
      </c>
      <c r="BF45" s="1">
        <v>101.58574</v>
      </c>
      <c r="BG45" s="1">
        <v>21.259840000000001</v>
      </c>
      <c r="BH45" s="1">
        <v>0</v>
      </c>
      <c r="BI45" s="1">
        <v>0</v>
      </c>
      <c r="BJ45" s="1">
        <v>10</v>
      </c>
      <c r="BK45" s="1">
        <v>0</v>
      </c>
      <c r="BL45" s="1">
        <v>170.66861</v>
      </c>
      <c r="BM45" s="1">
        <v>0</v>
      </c>
      <c r="BN45" s="3">
        <v>0.1030787037037037</v>
      </c>
      <c r="BO45" s="1" t="s">
        <v>130</v>
      </c>
      <c r="BP45" s="1" t="s">
        <v>130</v>
      </c>
      <c r="BQ45" s="1" t="s">
        <v>130</v>
      </c>
      <c r="BR45" s="1">
        <v>9.3407400000000003</v>
      </c>
      <c r="BS45" s="1">
        <v>197</v>
      </c>
      <c r="BT45" s="1">
        <v>12.605320000000001</v>
      </c>
      <c r="BU45" s="1">
        <v>27</v>
      </c>
      <c r="BV45" s="1">
        <v>13.43651</v>
      </c>
      <c r="BW45" s="1">
        <v>38.123480000000001</v>
      </c>
      <c r="BX45" s="1">
        <v>1.7847599999999999</v>
      </c>
      <c r="BY45" s="1">
        <v>15</v>
      </c>
      <c r="BZ45" s="1">
        <v>14.62598</v>
      </c>
      <c r="CA45" s="1">
        <v>33.22278</v>
      </c>
      <c r="CB45" s="1">
        <v>3.6255299999999999</v>
      </c>
      <c r="CC45" s="1">
        <v>6</v>
      </c>
      <c r="CD45" s="1">
        <v>18.632809999999999</v>
      </c>
      <c r="CE45" s="1">
        <v>18.632809999999999</v>
      </c>
      <c r="CF45" s="1">
        <v>18.632809999999999</v>
      </c>
      <c r="CG45" s="1">
        <v>1</v>
      </c>
      <c r="CH45" s="1" t="s">
        <v>130</v>
      </c>
      <c r="CI45" s="1" t="s">
        <v>130</v>
      </c>
      <c r="CJ45" s="1" t="s">
        <v>130</v>
      </c>
      <c r="CK45" s="1">
        <v>0</v>
      </c>
      <c r="CL45" s="1" t="s">
        <v>130</v>
      </c>
      <c r="CM45" s="1" t="s">
        <v>130</v>
      </c>
      <c r="CN45" s="1" t="s">
        <v>130</v>
      </c>
      <c r="CO45" s="1">
        <v>0</v>
      </c>
      <c r="CP45" s="1">
        <v>9.3776299999999999</v>
      </c>
      <c r="CQ45" s="1">
        <v>195</v>
      </c>
      <c r="CR45" s="1">
        <v>12.57648</v>
      </c>
      <c r="CS45" s="1">
        <v>27</v>
      </c>
      <c r="CT45" s="1">
        <v>13.43651</v>
      </c>
      <c r="CU45" s="1">
        <v>38.123480000000001</v>
      </c>
      <c r="CV45" s="1">
        <v>1.7847599999999999</v>
      </c>
      <c r="CW45" s="1">
        <v>15</v>
      </c>
      <c r="CX45" s="1">
        <v>14.62598</v>
      </c>
      <c r="CY45" s="1">
        <v>33.22278</v>
      </c>
      <c r="CZ45" s="1">
        <v>3.6255299999999999</v>
      </c>
      <c r="DA45" s="1">
        <v>6</v>
      </c>
      <c r="DB45" s="1">
        <v>18.632809999999999</v>
      </c>
      <c r="DC45" s="1">
        <v>18.632809999999999</v>
      </c>
      <c r="DD45" s="1">
        <v>18.632809999999999</v>
      </c>
      <c r="DE45" s="1">
        <v>1</v>
      </c>
      <c r="DF45" s="1" t="s">
        <v>130</v>
      </c>
      <c r="DG45" s="1">
        <v>0</v>
      </c>
      <c r="DH45" s="1">
        <v>0</v>
      </c>
      <c r="DI45" s="1">
        <v>0</v>
      </c>
      <c r="DJ45" s="1" t="s">
        <v>130</v>
      </c>
      <c r="DK45" s="1" t="s">
        <v>130</v>
      </c>
      <c r="DL45" s="1" t="s">
        <v>130</v>
      </c>
      <c r="DM45" s="1">
        <v>0</v>
      </c>
      <c r="DN45" s="1">
        <v>0</v>
      </c>
      <c r="DO45" s="1">
        <v>22.256119999999999</v>
      </c>
      <c r="DP45" s="1">
        <v>3.95689</v>
      </c>
      <c r="DQ45" s="1">
        <v>43.143050000000002</v>
      </c>
      <c r="DR45" s="1">
        <v>11</v>
      </c>
      <c r="DS45" s="1">
        <v>10.95613</v>
      </c>
      <c r="DT45" s="1">
        <v>2.0187900000000001</v>
      </c>
      <c r="DU45" s="1">
        <v>2157.8302600000002</v>
      </c>
      <c r="DV45" s="1">
        <v>134.29499999999999</v>
      </c>
      <c r="DW45" s="1">
        <v>41</v>
      </c>
      <c r="DX45" s="1">
        <v>0</v>
      </c>
      <c r="DY45" s="3">
        <v>0.1030787037037037</v>
      </c>
      <c r="DZ45" t="str">
        <f>IF(GPS_Table[[#This Row],[Max Vel (% Max)]] &gt;= 90, "YES", "NO")</f>
        <v>NO</v>
      </c>
    </row>
    <row r="46" spans="1:140" ht="14.25" customHeight="1" x14ac:dyDescent="0.2">
      <c r="A46" s="1" t="s">
        <v>187</v>
      </c>
      <c r="B46" s="1" t="s">
        <v>139</v>
      </c>
      <c r="C46" s="1" t="s">
        <v>129</v>
      </c>
      <c r="D46" s="1">
        <v>18.5</v>
      </c>
      <c r="E46" s="1">
        <v>15.215490000000001</v>
      </c>
      <c r="F46" s="1">
        <v>82.245909999999995</v>
      </c>
      <c r="G46" s="1">
        <v>0.15670999999999999</v>
      </c>
      <c r="H46" s="1">
        <v>215.24312</v>
      </c>
      <c r="I46" s="1">
        <v>3443.8899000000001</v>
      </c>
      <c r="J46" s="3">
        <v>6.4351851851851853E-3</v>
      </c>
      <c r="K46" s="3">
        <v>0.1030787037037037</v>
      </c>
      <c r="L46" s="1">
        <v>290.07557000000003</v>
      </c>
      <c r="M46" s="1">
        <v>18.129719999999999</v>
      </c>
      <c r="N46" s="1">
        <v>4.6883100000000004</v>
      </c>
      <c r="O46" s="1">
        <v>1.95404</v>
      </c>
      <c r="P46" s="1">
        <v>290.07557000000003</v>
      </c>
      <c r="Q46" s="1">
        <v>1395.7696599999999</v>
      </c>
      <c r="R46" s="3">
        <v>3.1250000000000001E-4</v>
      </c>
      <c r="S46" s="1">
        <v>100.60149</v>
      </c>
      <c r="T46" s="1">
        <v>21</v>
      </c>
      <c r="U46" s="1">
        <v>2</v>
      </c>
      <c r="V46" s="3">
        <v>3.4722222222222222E-5</v>
      </c>
      <c r="W46" s="1">
        <v>20.144359999999999</v>
      </c>
      <c r="X46" s="1">
        <v>0</v>
      </c>
      <c r="Y46" s="1">
        <v>0</v>
      </c>
      <c r="Z46" s="3">
        <v>0</v>
      </c>
      <c r="AA46" s="1">
        <v>5</v>
      </c>
      <c r="AB46" s="1">
        <v>9.7878399999999992</v>
      </c>
      <c r="AC46" s="3">
        <v>1.1574074074074075E-4</v>
      </c>
      <c r="AD46" s="1">
        <v>5</v>
      </c>
      <c r="AE46" s="1">
        <v>1</v>
      </c>
      <c r="AF46" s="1">
        <v>1.1373599999999999</v>
      </c>
      <c r="AG46" s="3">
        <v>1.1574074074074073E-5</v>
      </c>
      <c r="AH46" s="1">
        <v>1</v>
      </c>
      <c r="AI46" s="1">
        <v>0</v>
      </c>
      <c r="AJ46" s="1">
        <v>0.49213000000000001</v>
      </c>
      <c r="AK46" s="3">
        <v>0</v>
      </c>
      <c r="AL46" s="1">
        <v>0</v>
      </c>
      <c r="AM46" s="1">
        <v>3.95682</v>
      </c>
      <c r="AN46" s="1">
        <v>-3.7750599999999999</v>
      </c>
      <c r="AO46" s="1">
        <v>63.374890000000001</v>
      </c>
      <c r="AP46" s="1">
        <v>6</v>
      </c>
      <c r="AQ46" s="1">
        <v>5.0634300000000003</v>
      </c>
      <c r="AR46" s="1">
        <v>1</v>
      </c>
      <c r="AS46" s="1">
        <v>0.41556999999999999</v>
      </c>
      <c r="AT46" s="1">
        <v>0.41556999999999999</v>
      </c>
      <c r="AU46" s="1">
        <v>0</v>
      </c>
      <c r="AV46" s="1">
        <v>0</v>
      </c>
      <c r="AW46" s="1">
        <v>0</v>
      </c>
      <c r="AX46" s="1">
        <v>0</v>
      </c>
      <c r="AY46" s="1">
        <v>1612.8969099999999</v>
      </c>
      <c r="AZ46" s="1">
        <v>29</v>
      </c>
      <c r="BA46" s="1">
        <v>29</v>
      </c>
      <c r="BB46" s="1">
        <v>3</v>
      </c>
      <c r="BC46" s="1">
        <v>3</v>
      </c>
      <c r="BD46" s="1">
        <v>2</v>
      </c>
      <c r="BE46" s="1">
        <v>1</v>
      </c>
      <c r="BF46" s="1">
        <v>68.853890000000007</v>
      </c>
      <c r="BG46" s="1">
        <v>5.4790000000000001</v>
      </c>
      <c r="BH46" s="1">
        <v>0.41556999999999999</v>
      </c>
      <c r="BI46" s="1">
        <v>0</v>
      </c>
      <c r="BJ46" s="1">
        <v>7</v>
      </c>
      <c r="BK46" s="1">
        <v>0</v>
      </c>
      <c r="BL46" s="1">
        <v>116.81977000000001</v>
      </c>
      <c r="BM46" s="1">
        <v>0</v>
      </c>
      <c r="BN46" s="3">
        <v>0.1030787037037037</v>
      </c>
      <c r="BO46" s="1" t="s">
        <v>130</v>
      </c>
      <c r="BP46" s="1" t="s">
        <v>130</v>
      </c>
      <c r="BQ46" s="1" t="s">
        <v>130</v>
      </c>
      <c r="BR46" s="1">
        <v>10.65386</v>
      </c>
      <c r="BS46" s="1">
        <v>133</v>
      </c>
      <c r="BT46" s="1">
        <v>15.523860000000001</v>
      </c>
      <c r="BU46" s="1">
        <v>26</v>
      </c>
      <c r="BV46" s="1">
        <v>13.677440000000001</v>
      </c>
      <c r="BW46" s="1">
        <v>37.179510000000001</v>
      </c>
      <c r="BX46" s="1">
        <v>0</v>
      </c>
      <c r="BY46" s="1">
        <v>11</v>
      </c>
      <c r="BZ46" s="1">
        <v>10.90211</v>
      </c>
      <c r="CA46" s="1">
        <v>30.50196</v>
      </c>
      <c r="CB46" s="1">
        <v>0</v>
      </c>
      <c r="CC46" s="1">
        <v>6</v>
      </c>
      <c r="CD46" s="1">
        <v>3.3170199999999999</v>
      </c>
      <c r="CE46" s="1">
        <v>3.3170199999999999</v>
      </c>
      <c r="CF46" s="1">
        <v>0</v>
      </c>
      <c r="CG46" s="1">
        <v>1</v>
      </c>
      <c r="CH46" s="1" t="s">
        <v>130</v>
      </c>
      <c r="CI46" s="1">
        <v>0</v>
      </c>
      <c r="CJ46" s="1">
        <v>0</v>
      </c>
      <c r="CK46" s="1">
        <v>0</v>
      </c>
      <c r="CL46" s="1" t="s">
        <v>130</v>
      </c>
      <c r="CM46" s="1" t="s">
        <v>130</v>
      </c>
      <c r="CN46" s="1" t="s">
        <v>130</v>
      </c>
      <c r="CO46" s="1">
        <v>0</v>
      </c>
      <c r="CP46" s="1">
        <v>10.599629999999999</v>
      </c>
      <c r="CQ46" s="1">
        <v>134</v>
      </c>
      <c r="CR46" s="1">
        <v>15.48016</v>
      </c>
      <c r="CS46" s="1">
        <v>26</v>
      </c>
      <c r="CT46" s="1">
        <v>13.677440000000001</v>
      </c>
      <c r="CU46" s="1">
        <v>37.179510000000001</v>
      </c>
      <c r="CV46" s="1">
        <v>0</v>
      </c>
      <c r="CW46" s="1">
        <v>11</v>
      </c>
      <c r="CX46" s="1">
        <v>10.90211</v>
      </c>
      <c r="CY46" s="1">
        <v>30.50196</v>
      </c>
      <c r="CZ46" s="1">
        <v>0</v>
      </c>
      <c r="DA46" s="1">
        <v>6</v>
      </c>
      <c r="DB46" s="1">
        <v>3.3170199999999999</v>
      </c>
      <c r="DC46" s="1">
        <v>3.3170199999999999</v>
      </c>
      <c r="DD46" s="1">
        <v>0</v>
      </c>
      <c r="DE46" s="1">
        <v>1</v>
      </c>
      <c r="DF46" s="1" t="s">
        <v>130</v>
      </c>
      <c r="DG46" s="1">
        <v>0</v>
      </c>
      <c r="DH46" s="1">
        <v>0</v>
      </c>
      <c r="DI46" s="1">
        <v>0</v>
      </c>
      <c r="DJ46" s="1" t="s">
        <v>130</v>
      </c>
      <c r="DK46" s="1" t="s">
        <v>130</v>
      </c>
      <c r="DL46" s="1" t="s">
        <v>130</v>
      </c>
      <c r="DM46" s="1">
        <v>0</v>
      </c>
      <c r="DN46" s="1">
        <v>0.41556999999999999</v>
      </c>
      <c r="DO46" s="1">
        <v>10.658480000000001</v>
      </c>
      <c r="DP46" s="1">
        <v>4.0528899999999997</v>
      </c>
      <c r="DQ46" s="1">
        <v>21.773849999999999</v>
      </c>
      <c r="DR46" s="1">
        <v>3</v>
      </c>
      <c r="DS46" s="1">
        <v>9.8250299999999999</v>
      </c>
      <c r="DT46" s="1">
        <v>1.9993099999999999</v>
      </c>
      <c r="DU46" s="1">
        <v>1634.4706799999999</v>
      </c>
      <c r="DV46" s="1">
        <v>139.94333</v>
      </c>
      <c r="DW46" s="1">
        <v>29</v>
      </c>
      <c r="DX46" s="1">
        <v>0</v>
      </c>
      <c r="DY46" s="3">
        <v>0.1030787037037037</v>
      </c>
      <c r="DZ46" t="str">
        <f>IF(GPS_Table[[#This Row],[Max Vel (% Max)]] &gt;= 90, "YES", "NO")</f>
        <v>NO</v>
      </c>
    </row>
    <row r="47" spans="1:140" ht="14.25" customHeight="1" x14ac:dyDescent="0.2">
      <c r="A47" s="1" t="s">
        <v>188</v>
      </c>
      <c r="B47" s="1" t="s">
        <v>135</v>
      </c>
      <c r="C47" s="1" t="s">
        <v>129</v>
      </c>
      <c r="D47" s="1">
        <v>22.2</v>
      </c>
      <c r="E47" s="1">
        <v>19.498819999999998</v>
      </c>
      <c r="F47" s="1">
        <v>87.832490000000007</v>
      </c>
      <c r="G47" s="1">
        <v>0.19</v>
      </c>
      <c r="H47" s="1">
        <v>310.98111</v>
      </c>
      <c r="I47" s="1">
        <v>4975.6977800000004</v>
      </c>
      <c r="J47" s="3">
        <v>6.4351851851851853E-3</v>
      </c>
      <c r="K47" s="3">
        <v>0.1030787037037037</v>
      </c>
      <c r="L47" s="1">
        <v>361.60431999999997</v>
      </c>
      <c r="M47" s="1">
        <v>22.600269999999998</v>
      </c>
      <c r="N47" s="1">
        <v>5.9678500000000003</v>
      </c>
      <c r="O47" s="1">
        <v>2.43588</v>
      </c>
      <c r="P47" s="1">
        <v>361.60431999999997</v>
      </c>
      <c r="Q47" s="1">
        <v>1692.32232</v>
      </c>
      <c r="R47" s="3">
        <v>6.7129629629629625E-4</v>
      </c>
      <c r="S47" s="1">
        <v>268.06648999999999</v>
      </c>
      <c r="T47" s="1">
        <v>30</v>
      </c>
      <c r="U47" s="1">
        <v>10</v>
      </c>
      <c r="V47" s="3">
        <v>9.2592592592592588E-5</v>
      </c>
      <c r="W47" s="1">
        <v>56.660110000000003</v>
      </c>
      <c r="X47" s="1">
        <v>0</v>
      </c>
      <c r="Y47" s="1">
        <v>0</v>
      </c>
      <c r="Z47" s="3">
        <v>0</v>
      </c>
      <c r="AA47" s="1">
        <v>22</v>
      </c>
      <c r="AB47" s="1">
        <v>49.617229999999999</v>
      </c>
      <c r="AC47" s="3">
        <v>4.6296296296296298E-4</v>
      </c>
      <c r="AD47" s="1">
        <v>22</v>
      </c>
      <c r="AE47" s="1">
        <v>9</v>
      </c>
      <c r="AF47" s="1">
        <v>6.5944900000000004</v>
      </c>
      <c r="AG47" s="3">
        <v>9.2592592592592588E-5</v>
      </c>
      <c r="AH47" s="1">
        <v>9</v>
      </c>
      <c r="AI47" s="1">
        <v>0</v>
      </c>
      <c r="AJ47" s="1">
        <v>0</v>
      </c>
      <c r="AK47" s="3">
        <v>0</v>
      </c>
      <c r="AL47" s="1">
        <v>0</v>
      </c>
      <c r="AM47" s="1">
        <v>4.6614899999999997</v>
      </c>
      <c r="AN47" s="1">
        <v>-4.53871</v>
      </c>
      <c r="AO47" s="1">
        <v>158.92388</v>
      </c>
      <c r="AP47" s="1">
        <v>12</v>
      </c>
      <c r="AQ47" s="1">
        <v>14.085739999999999</v>
      </c>
      <c r="AR47" s="1">
        <v>2</v>
      </c>
      <c r="AS47" s="1">
        <v>15.026249999999999</v>
      </c>
      <c r="AT47" s="1">
        <v>15.026249999999999</v>
      </c>
      <c r="AU47" s="1">
        <v>1</v>
      </c>
      <c r="AV47" s="1">
        <v>0</v>
      </c>
      <c r="AW47" s="1">
        <v>0</v>
      </c>
      <c r="AX47" s="1">
        <v>0</v>
      </c>
      <c r="AY47" s="1">
        <v>2382.97028</v>
      </c>
      <c r="AZ47" s="1">
        <v>71</v>
      </c>
      <c r="BA47" s="1">
        <v>71</v>
      </c>
      <c r="BB47" s="1">
        <v>19</v>
      </c>
      <c r="BC47" s="1">
        <v>19</v>
      </c>
      <c r="BD47" s="1">
        <v>10</v>
      </c>
      <c r="BE47" s="1">
        <v>9</v>
      </c>
      <c r="BF47" s="1">
        <v>188.03586999999999</v>
      </c>
      <c r="BG47" s="1">
        <v>29.111989999999999</v>
      </c>
      <c r="BH47" s="1">
        <v>15.026249999999999</v>
      </c>
      <c r="BI47" s="1">
        <v>0</v>
      </c>
      <c r="BJ47" s="1">
        <v>15</v>
      </c>
      <c r="BK47" s="1">
        <v>0</v>
      </c>
      <c r="BL47" s="1">
        <v>170.4547</v>
      </c>
      <c r="BM47" s="1">
        <v>0</v>
      </c>
      <c r="BN47" s="3">
        <v>0.1030787037037037</v>
      </c>
      <c r="BO47" s="1" t="s">
        <v>130</v>
      </c>
      <c r="BP47" s="1" t="s">
        <v>130</v>
      </c>
      <c r="BQ47" s="1" t="s">
        <v>130</v>
      </c>
      <c r="BR47" s="1">
        <v>15.48757</v>
      </c>
      <c r="BS47" s="1">
        <v>136</v>
      </c>
      <c r="BT47" s="1">
        <v>14.949680000000001</v>
      </c>
      <c r="BU47" s="1">
        <v>41</v>
      </c>
      <c r="BV47" s="1">
        <v>13.992940000000001</v>
      </c>
      <c r="BW47" s="1">
        <v>41.879939999999998</v>
      </c>
      <c r="BX47" s="1">
        <v>3.26769</v>
      </c>
      <c r="BY47" s="1">
        <v>26</v>
      </c>
      <c r="BZ47" s="1">
        <v>15.531129999999999</v>
      </c>
      <c r="CA47" s="1">
        <v>34.893900000000002</v>
      </c>
      <c r="CB47" s="1">
        <v>3.1462699999999999</v>
      </c>
      <c r="CC47" s="1">
        <v>12</v>
      </c>
      <c r="CD47" s="1">
        <v>12.961510000000001</v>
      </c>
      <c r="CE47" s="1">
        <v>21.118770000000001</v>
      </c>
      <c r="CF47" s="1">
        <v>4.8042499999999997</v>
      </c>
      <c r="CG47" s="1">
        <v>2</v>
      </c>
      <c r="CH47" s="1">
        <v>14.25088</v>
      </c>
      <c r="CI47" s="1">
        <v>14.25088</v>
      </c>
      <c r="CJ47" s="1">
        <v>14.25088</v>
      </c>
      <c r="CK47" s="1">
        <v>1</v>
      </c>
      <c r="CL47" s="1" t="s">
        <v>130</v>
      </c>
      <c r="CM47" s="1" t="s">
        <v>130</v>
      </c>
      <c r="CN47" s="1" t="s">
        <v>130</v>
      </c>
      <c r="CO47" s="1">
        <v>0</v>
      </c>
      <c r="CP47" s="1">
        <v>15.48757</v>
      </c>
      <c r="CQ47" s="1">
        <v>136</v>
      </c>
      <c r="CR47" s="1">
        <v>15.199949999999999</v>
      </c>
      <c r="CS47" s="1">
        <v>40</v>
      </c>
      <c r="CT47" s="1">
        <v>13.992940000000001</v>
      </c>
      <c r="CU47" s="1">
        <v>41.879939999999998</v>
      </c>
      <c r="CV47" s="1">
        <v>3.26769</v>
      </c>
      <c r="CW47" s="1">
        <v>26</v>
      </c>
      <c r="CX47" s="1">
        <v>15.58244</v>
      </c>
      <c r="CY47" s="1">
        <v>35.509630000000001</v>
      </c>
      <c r="CZ47" s="1">
        <v>0</v>
      </c>
      <c r="DA47" s="1">
        <v>12</v>
      </c>
      <c r="DB47" s="1">
        <v>12.961510000000001</v>
      </c>
      <c r="DC47" s="1">
        <v>21.118770000000001</v>
      </c>
      <c r="DD47" s="1">
        <v>4.8042499999999997</v>
      </c>
      <c r="DE47" s="1">
        <v>2</v>
      </c>
      <c r="DF47" s="1">
        <v>14.25088</v>
      </c>
      <c r="DG47" s="1">
        <v>14.25088</v>
      </c>
      <c r="DH47" s="1">
        <v>14.25088</v>
      </c>
      <c r="DI47" s="1">
        <v>1</v>
      </c>
      <c r="DJ47" s="1" t="s">
        <v>130</v>
      </c>
      <c r="DK47" s="1" t="s">
        <v>130</v>
      </c>
      <c r="DL47" s="1" t="s">
        <v>130</v>
      </c>
      <c r="DM47" s="1">
        <v>0</v>
      </c>
      <c r="DN47" s="1">
        <v>15.026249999999999</v>
      </c>
      <c r="DO47" s="1">
        <v>37.605499999999999</v>
      </c>
      <c r="DP47" s="1">
        <v>3.4011800000000001</v>
      </c>
      <c r="DQ47" s="1">
        <v>63.254600000000003</v>
      </c>
      <c r="DR47" s="1">
        <v>19</v>
      </c>
      <c r="DS47" s="1">
        <v>3.8716400000000002</v>
      </c>
      <c r="DT47" s="1">
        <v>3.7790900000000001</v>
      </c>
      <c r="DU47" s="1">
        <v>2377.71216</v>
      </c>
      <c r="DV47" s="1">
        <v>137.375</v>
      </c>
      <c r="DW47" s="1">
        <v>71</v>
      </c>
      <c r="DX47" s="1">
        <v>0</v>
      </c>
      <c r="DY47" s="3">
        <v>0.1030787037037037</v>
      </c>
      <c r="DZ47" t="str">
        <f>IF(GPS_Table[[#This Row],[Max Vel (% Max)]] &gt;= 90, "YES", "NO")</f>
        <v>NO</v>
      </c>
    </row>
    <row r="48" spans="1:140" ht="14.25" customHeight="1" x14ac:dyDescent="0.2">
      <c r="A48" s="1" t="s">
        <v>189</v>
      </c>
      <c r="B48" s="1" t="s">
        <v>135</v>
      </c>
      <c r="C48" s="1" t="s">
        <v>129</v>
      </c>
      <c r="D48" s="1">
        <v>21.3</v>
      </c>
      <c r="E48" s="1">
        <v>17.16037</v>
      </c>
      <c r="F48" s="1">
        <v>80.565129999999996</v>
      </c>
      <c r="G48" s="1">
        <v>0.20993999999999999</v>
      </c>
      <c r="H48" s="1">
        <v>300.11417999999998</v>
      </c>
      <c r="I48" s="1">
        <v>4801.8269499999997</v>
      </c>
      <c r="J48" s="3">
        <v>6.4351851851851853E-3</v>
      </c>
      <c r="K48" s="3">
        <v>0.1030787037037037</v>
      </c>
      <c r="L48" s="1">
        <v>470.34904</v>
      </c>
      <c r="M48" s="1">
        <v>29.396809999999999</v>
      </c>
      <c r="N48" s="1">
        <v>7.5125900000000003</v>
      </c>
      <c r="O48" s="1">
        <v>3.1684199999999998</v>
      </c>
      <c r="P48" s="1">
        <v>470.34904</v>
      </c>
      <c r="Q48" s="1">
        <v>1869.8988400000001</v>
      </c>
      <c r="R48" s="3">
        <v>1.0069444444444444E-3</v>
      </c>
      <c r="S48" s="1">
        <v>270.04593999999997</v>
      </c>
      <c r="T48" s="1">
        <v>41</v>
      </c>
      <c r="U48" s="1">
        <v>13</v>
      </c>
      <c r="V48" s="3">
        <v>1.5046296296296297E-4</v>
      </c>
      <c r="W48" s="1">
        <v>70.330269999999999</v>
      </c>
      <c r="X48" s="1">
        <v>0</v>
      </c>
      <c r="Y48" s="1">
        <v>3.1714799999999999</v>
      </c>
      <c r="Z48" s="3">
        <v>0</v>
      </c>
      <c r="AA48" s="1">
        <v>31</v>
      </c>
      <c r="AB48" s="1">
        <v>52.96369</v>
      </c>
      <c r="AC48" s="3">
        <v>4.6296296296296298E-4</v>
      </c>
      <c r="AD48" s="1">
        <v>31</v>
      </c>
      <c r="AE48" s="1">
        <v>6</v>
      </c>
      <c r="AF48" s="1">
        <v>8.9020100000000006</v>
      </c>
      <c r="AG48" s="3">
        <v>5.7870370370370373E-5</v>
      </c>
      <c r="AH48" s="1">
        <v>6</v>
      </c>
      <c r="AI48" s="1">
        <v>2</v>
      </c>
      <c r="AJ48" s="1">
        <v>0.89676</v>
      </c>
      <c r="AK48" s="3">
        <v>1.1574074074074073E-5</v>
      </c>
      <c r="AL48" s="1">
        <v>2</v>
      </c>
      <c r="AM48" s="1">
        <v>4.5161699999999998</v>
      </c>
      <c r="AN48" s="1">
        <v>-5.9178600000000001</v>
      </c>
      <c r="AO48" s="1">
        <v>113.97638000000001</v>
      </c>
      <c r="AP48" s="1">
        <v>13</v>
      </c>
      <c r="AQ48" s="1">
        <v>27.340330000000002</v>
      </c>
      <c r="AR48" s="1">
        <v>3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2407.92929</v>
      </c>
      <c r="AZ48" s="1">
        <v>93</v>
      </c>
      <c r="BA48" s="1">
        <v>93</v>
      </c>
      <c r="BB48" s="1">
        <v>21</v>
      </c>
      <c r="BC48" s="1">
        <v>21</v>
      </c>
      <c r="BD48" s="1">
        <v>13</v>
      </c>
      <c r="BE48" s="1">
        <v>8</v>
      </c>
      <c r="BF48" s="1">
        <v>141.31671</v>
      </c>
      <c r="BG48" s="1">
        <v>27.340330000000002</v>
      </c>
      <c r="BH48" s="1">
        <v>0</v>
      </c>
      <c r="BI48" s="1">
        <v>0</v>
      </c>
      <c r="BJ48" s="1">
        <v>16</v>
      </c>
      <c r="BK48" s="1">
        <v>0</v>
      </c>
      <c r="BL48" s="1">
        <v>164.70773</v>
      </c>
      <c r="BM48" s="1">
        <v>0</v>
      </c>
      <c r="BN48" s="3">
        <v>0.1030787037037037</v>
      </c>
      <c r="BO48" s="1" t="s">
        <v>130</v>
      </c>
      <c r="BP48" s="1" t="s">
        <v>130</v>
      </c>
      <c r="BQ48" s="1" t="s">
        <v>130</v>
      </c>
      <c r="BR48" s="1">
        <v>11.375959999999999</v>
      </c>
      <c r="BS48" s="1">
        <v>191</v>
      </c>
      <c r="BT48" s="1">
        <v>13.03661</v>
      </c>
      <c r="BU48" s="1">
        <v>49</v>
      </c>
      <c r="BV48" s="1">
        <v>12.98739</v>
      </c>
      <c r="BW48" s="1">
        <v>44.000450000000001</v>
      </c>
      <c r="BX48" s="1">
        <v>1.64029</v>
      </c>
      <c r="BY48" s="1">
        <v>26</v>
      </c>
      <c r="BZ48" s="1">
        <v>9.8502799999999997</v>
      </c>
      <c r="CA48" s="1">
        <v>25.698840000000001</v>
      </c>
      <c r="CB48" s="1">
        <v>1.64029</v>
      </c>
      <c r="CC48" s="1">
        <v>13</v>
      </c>
      <c r="CD48" s="1">
        <v>7.4081000000000001</v>
      </c>
      <c r="CE48" s="1">
        <v>10.409079999999999</v>
      </c>
      <c r="CF48" s="1">
        <v>5.5915499999999998</v>
      </c>
      <c r="CG48" s="1">
        <v>3</v>
      </c>
      <c r="CH48" s="1" t="s">
        <v>130</v>
      </c>
      <c r="CI48" s="1" t="s">
        <v>130</v>
      </c>
      <c r="CJ48" s="1" t="s">
        <v>130</v>
      </c>
      <c r="CK48" s="1">
        <v>0</v>
      </c>
      <c r="CL48" s="1" t="s">
        <v>130</v>
      </c>
      <c r="CM48" s="1" t="s">
        <v>130</v>
      </c>
      <c r="CN48" s="1" t="s">
        <v>130</v>
      </c>
      <c r="CO48" s="1">
        <v>0</v>
      </c>
      <c r="CP48" s="1">
        <v>11.27721</v>
      </c>
      <c r="CQ48" s="1">
        <v>198</v>
      </c>
      <c r="CR48" s="1">
        <v>12.06892</v>
      </c>
      <c r="CS48" s="1">
        <v>58</v>
      </c>
      <c r="CT48" s="1">
        <v>12.885820000000001</v>
      </c>
      <c r="CU48" s="1">
        <v>50.600439999999999</v>
      </c>
      <c r="CV48" s="1">
        <v>1.64029</v>
      </c>
      <c r="CW48" s="1">
        <v>30</v>
      </c>
      <c r="CX48" s="1">
        <v>11.33108</v>
      </c>
      <c r="CY48" s="1">
        <v>26.41733</v>
      </c>
      <c r="CZ48" s="1">
        <v>1.64029</v>
      </c>
      <c r="DA48" s="1">
        <v>14</v>
      </c>
      <c r="DB48" s="1">
        <v>10.70425</v>
      </c>
      <c r="DC48" s="1">
        <v>12.86731</v>
      </c>
      <c r="DD48" s="1">
        <v>9.2957099999999997</v>
      </c>
      <c r="DE48" s="1">
        <v>3</v>
      </c>
      <c r="DF48" s="1">
        <v>5.8050100000000002</v>
      </c>
      <c r="DG48" s="1">
        <v>5.8050100000000002</v>
      </c>
      <c r="DH48" s="1">
        <v>5.8050100000000002</v>
      </c>
      <c r="DI48" s="1">
        <v>1</v>
      </c>
      <c r="DJ48" s="1" t="s">
        <v>130</v>
      </c>
      <c r="DK48" s="1" t="s">
        <v>130</v>
      </c>
      <c r="DL48" s="1" t="s">
        <v>130</v>
      </c>
      <c r="DM48" s="1">
        <v>0</v>
      </c>
      <c r="DN48" s="1">
        <v>0</v>
      </c>
      <c r="DO48" s="1">
        <v>40.659880000000001</v>
      </c>
      <c r="DP48" s="1">
        <v>3.8941400000000002</v>
      </c>
      <c r="DQ48" s="1">
        <v>83.300520000000006</v>
      </c>
      <c r="DR48" s="1">
        <v>21</v>
      </c>
      <c r="DS48" s="1">
        <v>3.6143399999999999</v>
      </c>
      <c r="DT48" s="1">
        <v>2.9429799999999999</v>
      </c>
      <c r="DU48" s="1">
        <v>2405.24937</v>
      </c>
      <c r="DV48" s="1">
        <v>133.53333000000001</v>
      </c>
      <c r="DW48" s="1">
        <v>93</v>
      </c>
      <c r="DX48" s="1">
        <v>0</v>
      </c>
      <c r="DY48" s="3">
        <v>0.1030787037037037</v>
      </c>
      <c r="DZ48" t="str">
        <f>IF(GPS_Table[[#This Row],[Max Vel (% Max)]] &gt;= 90, "YES", "NO")</f>
        <v>NO</v>
      </c>
    </row>
    <row r="49" spans="1:130" ht="14.25" customHeight="1" x14ac:dyDescent="0.2">
      <c r="A49" s="1" t="s">
        <v>190</v>
      </c>
      <c r="B49" s="1" t="s">
        <v>135</v>
      </c>
      <c r="C49" s="1" t="s">
        <v>129</v>
      </c>
      <c r="D49" s="1">
        <v>21.400010000000002</v>
      </c>
      <c r="E49" s="1">
        <v>16.88964</v>
      </c>
      <c r="F49" s="1">
        <v>78.923540000000003</v>
      </c>
      <c r="G49" s="1">
        <v>0.20326</v>
      </c>
      <c r="H49" s="1">
        <v>319.76584000000003</v>
      </c>
      <c r="I49" s="1">
        <v>5116.2534699999997</v>
      </c>
      <c r="J49" s="3">
        <v>6.4351851851851853E-3</v>
      </c>
      <c r="K49" s="3">
        <v>0.1030787037037037</v>
      </c>
      <c r="L49" s="1">
        <v>423.44290000000001</v>
      </c>
      <c r="M49" s="1">
        <v>26.46518</v>
      </c>
      <c r="N49" s="1">
        <v>10.379519999999999</v>
      </c>
      <c r="O49" s="1">
        <v>2.8524400000000001</v>
      </c>
      <c r="P49" s="1">
        <v>423.44290000000001</v>
      </c>
      <c r="Q49" s="1">
        <v>1810.4407699999999</v>
      </c>
      <c r="R49" s="3">
        <v>7.0601851851851847E-4</v>
      </c>
      <c r="S49" s="1">
        <v>252.22004000000001</v>
      </c>
      <c r="T49" s="1">
        <v>40</v>
      </c>
      <c r="U49" s="1">
        <v>11</v>
      </c>
      <c r="V49" s="3">
        <v>1.0416666666666667E-4</v>
      </c>
      <c r="W49" s="1">
        <v>52.066929999999999</v>
      </c>
      <c r="X49" s="1">
        <v>0</v>
      </c>
      <c r="Y49" s="1">
        <v>0</v>
      </c>
      <c r="Z49" s="3">
        <v>0</v>
      </c>
      <c r="AA49" s="1">
        <v>26</v>
      </c>
      <c r="AB49" s="1">
        <v>40.616799999999998</v>
      </c>
      <c r="AC49" s="3">
        <v>3.3564814814814812E-4</v>
      </c>
      <c r="AD49" s="1">
        <v>26</v>
      </c>
      <c r="AE49" s="1">
        <v>0</v>
      </c>
      <c r="AF49" s="1">
        <v>1.094E-2</v>
      </c>
      <c r="AG49" s="3">
        <v>0</v>
      </c>
      <c r="AH49" s="1">
        <v>0</v>
      </c>
      <c r="AI49" s="1">
        <v>0</v>
      </c>
      <c r="AJ49" s="1">
        <v>0</v>
      </c>
      <c r="AK49" s="3">
        <v>0</v>
      </c>
      <c r="AL49" s="1">
        <v>0</v>
      </c>
      <c r="AM49" s="1">
        <v>4.3807999999999998</v>
      </c>
      <c r="AN49" s="1">
        <v>-3.4594800000000001</v>
      </c>
      <c r="AO49" s="1">
        <v>115.94488</v>
      </c>
      <c r="AP49" s="1">
        <v>10</v>
      </c>
      <c r="AQ49" s="1">
        <v>12.02975</v>
      </c>
      <c r="AR49" s="1">
        <v>1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2490.8488200000002</v>
      </c>
      <c r="AZ49" s="1">
        <v>77</v>
      </c>
      <c r="BA49" s="1">
        <v>77</v>
      </c>
      <c r="BB49" s="1">
        <v>11</v>
      </c>
      <c r="BC49" s="1">
        <v>11</v>
      </c>
      <c r="BD49" s="1">
        <v>11</v>
      </c>
      <c r="BE49" s="1">
        <v>0</v>
      </c>
      <c r="BF49" s="1">
        <v>127.97463</v>
      </c>
      <c r="BG49" s="1">
        <v>12.02975</v>
      </c>
      <c r="BH49" s="1">
        <v>0</v>
      </c>
      <c r="BI49" s="1">
        <v>0</v>
      </c>
      <c r="BJ49" s="1">
        <v>11</v>
      </c>
      <c r="BK49" s="1">
        <v>0</v>
      </c>
      <c r="BL49" s="1">
        <v>171.8586</v>
      </c>
      <c r="BM49" s="1">
        <v>0</v>
      </c>
      <c r="BN49" s="3">
        <v>0.1030787037037037</v>
      </c>
      <c r="BO49" s="1" t="s">
        <v>130</v>
      </c>
      <c r="BP49" s="1" t="s">
        <v>130</v>
      </c>
      <c r="BQ49" s="1" t="s">
        <v>130</v>
      </c>
      <c r="BR49" s="1">
        <v>14.53815</v>
      </c>
      <c r="BS49" s="1">
        <v>157</v>
      </c>
      <c r="BT49" s="1">
        <v>12.76576</v>
      </c>
      <c r="BU49" s="1">
        <v>44</v>
      </c>
      <c r="BV49" s="1">
        <v>14.486660000000001</v>
      </c>
      <c r="BW49" s="1">
        <v>37.57987</v>
      </c>
      <c r="BX49" s="1">
        <v>3.3528600000000002</v>
      </c>
      <c r="BY49" s="1">
        <v>22</v>
      </c>
      <c r="BZ49" s="1">
        <v>13.069470000000001</v>
      </c>
      <c r="CA49" s="1">
        <v>29.368960000000001</v>
      </c>
      <c r="CB49" s="1">
        <v>0</v>
      </c>
      <c r="CC49" s="1">
        <v>9</v>
      </c>
      <c r="CD49" s="1">
        <v>7.3808199999999999</v>
      </c>
      <c r="CE49" s="1">
        <v>7.3808199999999999</v>
      </c>
      <c r="CF49" s="1">
        <v>0</v>
      </c>
      <c r="CG49" s="1">
        <v>1</v>
      </c>
      <c r="CH49" s="1" t="s">
        <v>130</v>
      </c>
      <c r="CI49" s="1" t="s">
        <v>130</v>
      </c>
      <c r="CJ49" s="1" t="s">
        <v>130</v>
      </c>
      <c r="CK49" s="1">
        <v>0</v>
      </c>
      <c r="CL49" s="1" t="s">
        <v>130</v>
      </c>
      <c r="CM49" s="1" t="s">
        <v>130</v>
      </c>
      <c r="CN49" s="1" t="s">
        <v>130</v>
      </c>
      <c r="CO49" s="1">
        <v>0</v>
      </c>
      <c r="CP49" s="1">
        <v>14.440810000000001</v>
      </c>
      <c r="CQ49" s="1">
        <v>165</v>
      </c>
      <c r="CR49" s="1">
        <v>12.33441</v>
      </c>
      <c r="CS49" s="1">
        <v>51</v>
      </c>
      <c r="CT49" s="1">
        <v>15.52474</v>
      </c>
      <c r="CU49" s="1">
        <v>39.401580000000003</v>
      </c>
      <c r="CV49" s="1">
        <v>0</v>
      </c>
      <c r="CW49" s="1">
        <v>23</v>
      </c>
      <c r="CX49" s="1">
        <v>11.76093</v>
      </c>
      <c r="CY49" s="1">
        <v>31.142880000000002</v>
      </c>
      <c r="CZ49" s="1">
        <v>2.5395300000000001</v>
      </c>
      <c r="DA49" s="1">
        <v>13</v>
      </c>
      <c r="DB49" s="1">
        <v>10.61307</v>
      </c>
      <c r="DC49" s="1">
        <v>15.15199</v>
      </c>
      <c r="DD49" s="1">
        <v>6.0741500000000004</v>
      </c>
      <c r="DE49" s="1">
        <v>2</v>
      </c>
      <c r="DF49" s="1" t="s">
        <v>130</v>
      </c>
      <c r="DG49" s="1" t="s">
        <v>130</v>
      </c>
      <c r="DH49" s="1" t="s">
        <v>130</v>
      </c>
      <c r="DI49" s="1">
        <v>0</v>
      </c>
      <c r="DJ49" s="1" t="s">
        <v>130</v>
      </c>
      <c r="DK49" s="1" t="s">
        <v>130</v>
      </c>
      <c r="DL49" s="1" t="s">
        <v>130</v>
      </c>
      <c r="DM49" s="1">
        <v>0</v>
      </c>
      <c r="DN49" s="1">
        <v>0</v>
      </c>
      <c r="DO49" s="1">
        <v>25.364660000000001</v>
      </c>
      <c r="DP49" s="1">
        <v>3.5386099999999998</v>
      </c>
      <c r="DQ49" s="1">
        <v>52.077869999999997</v>
      </c>
      <c r="DR49" s="1">
        <v>11</v>
      </c>
      <c r="DS49" s="1">
        <v>2.71583</v>
      </c>
      <c r="DT49" s="1">
        <v>2.5013299999999998</v>
      </c>
      <c r="DU49" s="1">
        <v>2486.3407900000002</v>
      </c>
      <c r="DV49" s="1">
        <v>136.04333</v>
      </c>
      <c r="DW49" s="1">
        <v>77</v>
      </c>
      <c r="DX49" s="1">
        <v>0</v>
      </c>
      <c r="DY49" s="3">
        <v>0.1030787037037037</v>
      </c>
      <c r="DZ49" t="str">
        <f>IF(GPS_Table[[#This Row],[Max Vel (% Max)]] &gt;= 90, "YES", "NO")</f>
        <v>NO</v>
      </c>
    </row>
    <row r="50" spans="1:130" ht="14.25" customHeight="1" x14ac:dyDescent="0.2">
      <c r="A50" s="1" t="s">
        <v>191</v>
      </c>
      <c r="B50" s="1" t="s">
        <v>135</v>
      </c>
      <c r="C50" s="1" t="s">
        <v>129</v>
      </c>
      <c r="D50" s="1">
        <v>21.400010000000002</v>
      </c>
      <c r="E50" s="1">
        <v>18.173940000000002</v>
      </c>
      <c r="F50" s="1">
        <v>84.92492</v>
      </c>
      <c r="G50" s="1">
        <v>0.1701</v>
      </c>
      <c r="H50" s="1">
        <v>265.00306999999998</v>
      </c>
      <c r="I50" s="1">
        <v>4240.0491300000003</v>
      </c>
      <c r="J50" s="3">
        <v>6.4351851851851853E-3</v>
      </c>
      <c r="K50" s="3">
        <v>0.1030787037037037</v>
      </c>
      <c r="L50" s="1">
        <v>333.96046999999999</v>
      </c>
      <c r="M50" s="1">
        <v>20.872530000000001</v>
      </c>
      <c r="N50" s="1">
        <v>12.170949999999999</v>
      </c>
      <c r="O50" s="1">
        <v>2.24966</v>
      </c>
      <c r="P50" s="1">
        <v>333.96046999999999</v>
      </c>
      <c r="Q50" s="1">
        <v>1515.0285699999999</v>
      </c>
      <c r="R50" s="3">
        <v>5.5555555555555556E-4</v>
      </c>
      <c r="S50" s="1">
        <v>191.88539</v>
      </c>
      <c r="T50" s="1">
        <v>20</v>
      </c>
      <c r="U50" s="1">
        <v>9</v>
      </c>
      <c r="V50" s="3">
        <v>1.1574074074074075E-4</v>
      </c>
      <c r="W50" s="1">
        <v>53.576120000000003</v>
      </c>
      <c r="X50" s="1">
        <v>0</v>
      </c>
      <c r="Y50" s="1">
        <v>1.5966800000000001</v>
      </c>
      <c r="Z50" s="3">
        <v>0</v>
      </c>
      <c r="AA50" s="1">
        <v>14</v>
      </c>
      <c r="AB50" s="1">
        <v>23.77515</v>
      </c>
      <c r="AC50" s="3">
        <v>2.6620370370370372E-4</v>
      </c>
      <c r="AD50" s="1">
        <v>14</v>
      </c>
      <c r="AE50" s="1">
        <v>2</v>
      </c>
      <c r="AF50" s="1">
        <v>3.0293100000000002</v>
      </c>
      <c r="AG50" s="3">
        <v>2.3148148148148147E-5</v>
      </c>
      <c r="AH50" s="1">
        <v>2</v>
      </c>
      <c r="AI50" s="1">
        <v>0</v>
      </c>
      <c r="AJ50" s="1">
        <v>0</v>
      </c>
      <c r="AK50" s="3">
        <v>0</v>
      </c>
      <c r="AL50" s="1">
        <v>0</v>
      </c>
      <c r="AM50" s="1">
        <v>4.2341800000000003</v>
      </c>
      <c r="AN50" s="1">
        <v>-3.7821400000000001</v>
      </c>
      <c r="AO50" s="1">
        <v>146.66448</v>
      </c>
      <c r="AP50" s="1">
        <v>12</v>
      </c>
      <c r="AQ50" s="1">
        <v>14.37008</v>
      </c>
      <c r="AR50" s="1">
        <v>2</v>
      </c>
      <c r="AS50" s="1">
        <v>11.034560000000001</v>
      </c>
      <c r="AT50" s="1">
        <v>11.034560000000001</v>
      </c>
      <c r="AU50" s="1">
        <v>1</v>
      </c>
      <c r="AV50" s="1">
        <v>0</v>
      </c>
      <c r="AW50" s="1">
        <v>0</v>
      </c>
      <c r="AX50" s="1">
        <v>0</v>
      </c>
      <c r="AY50" s="1">
        <v>2039.4257700000001</v>
      </c>
      <c r="AZ50" s="1">
        <v>45</v>
      </c>
      <c r="BA50" s="1">
        <v>45</v>
      </c>
      <c r="BB50" s="1">
        <v>11</v>
      </c>
      <c r="BC50" s="1">
        <v>11</v>
      </c>
      <c r="BD50" s="1">
        <v>9</v>
      </c>
      <c r="BE50" s="1">
        <v>2</v>
      </c>
      <c r="BF50" s="1">
        <v>172.06912</v>
      </c>
      <c r="BG50" s="1">
        <v>25.404640000000001</v>
      </c>
      <c r="BH50" s="1">
        <v>11.034560000000001</v>
      </c>
      <c r="BI50" s="1">
        <v>0</v>
      </c>
      <c r="BJ50" s="1">
        <v>15</v>
      </c>
      <c r="BK50" s="1">
        <v>0</v>
      </c>
      <c r="BL50" s="1">
        <v>142.47665000000001</v>
      </c>
      <c r="BM50" s="1">
        <v>0</v>
      </c>
      <c r="BN50" s="3">
        <v>0.1030787037037037</v>
      </c>
      <c r="BO50" s="1" t="s">
        <v>130</v>
      </c>
      <c r="BP50" s="1" t="s">
        <v>130</v>
      </c>
      <c r="BQ50" s="1" t="s">
        <v>130</v>
      </c>
      <c r="BR50" s="1">
        <v>12.42235</v>
      </c>
      <c r="BS50" s="1">
        <v>154</v>
      </c>
      <c r="BT50" s="1">
        <v>15.52234</v>
      </c>
      <c r="BU50" s="1">
        <v>27</v>
      </c>
      <c r="BV50" s="1">
        <v>15.192690000000001</v>
      </c>
      <c r="BW50" s="1">
        <v>36.90945</v>
      </c>
      <c r="BX50" s="1">
        <v>0</v>
      </c>
      <c r="BY50" s="1">
        <v>18</v>
      </c>
      <c r="BZ50" s="1">
        <v>15.90103</v>
      </c>
      <c r="CA50" s="1">
        <v>32.527389999999997</v>
      </c>
      <c r="CB50" s="1">
        <v>0</v>
      </c>
      <c r="CC50" s="1">
        <v>10</v>
      </c>
      <c r="CD50" s="1">
        <v>12.25339</v>
      </c>
      <c r="CE50" s="1">
        <v>20.807089999999999</v>
      </c>
      <c r="CF50" s="1">
        <v>0</v>
      </c>
      <c r="CG50" s="1">
        <v>2</v>
      </c>
      <c r="CH50" s="1">
        <v>4.3788600000000004</v>
      </c>
      <c r="CI50" s="1">
        <v>4.3788600000000004</v>
      </c>
      <c r="CJ50" s="1">
        <v>4.3788600000000004</v>
      </c>
      <c r="CK50" s="1">
        <v>1</v>
      </c>
      <c r="CL50" s="1" t="s">
        <v>130</v>
      </c>
      <c r="CM50" s="1" t="s">
        <v>130</v>
      </c>
      <c r="CN50" s="1" t="s">
        <v>130</v>
      </c>
      <c r="CO50" s="1">
        <v>0</v>
      </c>
      <c r="CP50" s="1">
        <v>12.47275</v>
      </c>
      <c r="CQ50" s="1">
        <v>153</v>
      </c>
      <c r="CR50" s="1">
        <v>15.52234</v>
      </c>
      <c r="CS50" s="1">
        <v>27</v>
      </c>
      <c r="CT50" s="1">
        <v>15.192690000000001</v>
      </c>
      <c r="CU50" s="1">
        <v>36.90945</v>
      </c>
      <c r="CV50" s="1">
        <v>0</v>
      </c>
      <c r="CW50" s="1">
        <v>18</v>
      </c>
      <c r="CX50" s="1">
        <v>15.90103</v>
      </c>
      <c r="CY50" s="1">
        <v>32.527389999999997</v>
      </c>
      <c r="CZ50" s="1">
        <v>0</v>
      </c>
      <c r="DA50" s="1">
        <v>10</v>
      </c>
      <c r="DB50" s="1">
        <v>12.25339</v>
      </c>
      <c r="DC50" s="1">
        <v>20.807089999999999</v>
      </c>
      <c r="DD50" s="1">
        <v>0</v>
      </c>
      <c r="DE50" s="1">
        <v>2</v>
      </c>
      <c r="DF50" s="1">
        <v>4.3788600000000004</v>
      </c>
      <c r="DG50" s="1">
        <v>4.3788600000000004</v>
      </c>
      <c r="DH50" s="1">
        <v>4.3788600000000004</v>
      </c>
      <c r="DI50" s="1">
        <v>1</v>
      </c>
      <c r="DJ50" s="1" t="s">
        <v>130</v>
      </c>
      <c r="DK50" s="1" t="s">
        <v>130</v>
      </c>
      <c r="DL50" s="1" t="s">
        <v>130</v>
      </c>
      <c r="DM50" s="1">
        <v>0</v>
      </c>
      <c r="DN50" s="1">
        <v>11.034560000000001</v>
      </c>
      <c r="DO50" s="1">
        <v>30.906179999999999</v>
      </c>
      <c r="DP50" s="1">
        <v>3.57314</v>
      </c>
      <c r="DQ50" s="1">
        <v>58.202109999999998</v>
      </c>
      <c r="DR50" s="1">
        <v>11</v>
      </c>
      <c r="DS50" s="1">
        <v>2.3954900000000001</v>
      </c>
      <c r="DT50" s="1">
        <v>4.0581899999999997</v>
      </c>
      <c r="DU50" s="1">
        <v>2040.3215600000001</v>
      </c>
      <c r="DV50" s="1">
        <v>137.59</v>
      </c>
      <c r="DW50" s="1">
        <v>45</v>
      </c>
      <c r="DX50" s="1">
        <v>0</v>
      </c>
      <c r="DY50" s="3">
        <v>0.1030787037037037</v>
      </c>
      <c r="DZ50" t="str">
        <f>IF(GPS_Table[[#This Row],[Max Vel (% Max)]] &gt;= 90, "YES", "NO")</f>
        <v>NO</v>
      </c>
    </row>
    <row r="51" spans="1:130" ht="14.25" customHeight="1" x14ac:dyDescent="0.2">
      <c r="A51" s="1" t="s">
        <v>192</v>
      </c>
      <c r="B51" s="1" t="s">
        <v>135</v>
      </c>
      <c r="C51" s="1" t="s">
        <v>129</v>
      </c>
      <c r="D51" s="1">
        <v>20.3</v>
      </c>
      <c r="E51" s="1">
        <v>15.999129999999999</v>
      </c>
      <c r="F51" s="1">
        <v>78.813460000000006</v>
      </c>
      <c r="G51" s="1">
        <v>0.16009999999999999</v>
      </c>
      <c r="H51" s="1">
        <v>228.90888000000001</v>
      </c>
      <c r="I51" s="1">
        <v>3662.5421099999999</v>
      </c>
      <c r="J51" s="3">
        <v>6.4351851851851853E-3</v>
      </c>
      <c r="K51" s="3">
        <v>0.1030787037037037</v>
      </c>
      <c r="L51" s="1">
        <v>302.34109000000001</v>
      </c>
      <c r="M51" s="1">
        <v>18.896319999999999</v>
      </c>
      <c r="N51" s="1">
        <v>7.6007400000000001</v>
      </c>
      <c r="O51" s="1">
        <v>2.0366599999999999</v>
      </c>
      <c r="P51" s="1">
        <v>302.34109000000001</v>
      </c>
      <c r="Q51" s="1">
        <v>1426.0220400000001</v>
      </c>
      <c r="R51" s="3">
        <v>4.6296296296296298E-4</v>
      </c>
      <c r="S51" s="1">
        <v>158.14742000000001</v>
      </c>
      <c r="T51" s="1">
        <v>21</v>
      </c>
      <c r="U51" s="1">
        <v>5</v>
      </c>
      <c r="V51" s="3">
        <v>4.6296296296296294E-5</v>
      </c>
      <c r="W51" s="1">
        <v>24.868770000000001</v>
      </c>
      <c r="X51" s="1">
        <v>0</v>
      </c>
      <c r="Y51" s="1">
        <v>0.85302</v>
      </c>
      <c r="Z51" s="3">
        <v>0</v>
      </c>
      <c r="AA51" s="1">
        <v>16</v>
      </c>
      <c r="AB51" s="1">
        <v>32.010060000000003</v>
      </c>
      <c r="AC51" s="3">
        <v>2.199074074074074E-4</v>
      </c>
      <c r="AD51" s="1">
        <v>16</v>
      </c>
      <c r="AE51" s="1">
        <v>2</v>
      </c>
      <c r="AF51" s="1">
        <v>3.9698199999999999</v>
      </c>
      <c r="AG51" s="3">
        <v>2.3148148148148147E-5</v>
      </c>
      <c r="AH51" s="1">
        <v>2</v>
      </c>
      <c r="AI51" s="1">
        <v>0</v>
      </c>
      <c r="AJ51" s="1">
        <v>1.028</v>
      </c>
      <c r="AK51" s="3">
        <v>0</v>
      </c>
      <c r="AL51" s="1">
        <v>0</v>
      </c>
      <c r="AM51" s="1">
        <v>4.6119500000000002</v>
      </c>
      <c r="AN51" s="1">
        <v>-4.2682099999999998</v>
      </c>
      <c r="AO51" s="1">
        <v>77.154420000000002</v>
      </c>
      <c r="AP51" s="1">
        <v>12</v>
      </c>
      <c r="AQ51" s="1">
        <v>4.0354299999999999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1896.30195</v>
      </c>
      <c r="AZ51" s="1">
        <v>44</v>
      </c>
      <c r="BA51" s="1">
        <v>44</v>
      </c>
      <c r="BB51" s="1">
        <v>7</v>
      </c>
      <c r="BC51" s="1">
        <v>7</v>
      </c>
      <c r="BD51" s="1">
        <v>5</v>
      </c>
      <c r="BE51" s="1">
        <v>2</v>
      </c>
      <c r="BF51" s="1">
        <v>81.189850000000007</v>
      </c>
      <c r="BG51" s="1">
        <v>4.0354299999999999</v>
      </c>
      <c r="BH51" s="1">
        <v>0</v>
      </c>
      <c r="BI51" s="1">
        <v>0</v>
      </c>
      <c r="BJ51" s="1">
        <v>13</v>
      </c>
      <c r="BK51" s="1">
        <v>0</v>
      </c>
      <c r="BL51" s="1">
        <v>124.02327</v>
      </c>
      <c r="BM51" s="1">
        <v>0</v>
      </c>
      <c r="BN51" s="3">
        <v>0.1030787037037037</v>
      </c>
      <c r="BO51" s="1" t="s">
        <v>130</v>
      </c>
      <c r="BP51" s="1" t="s">
        <v>130</v>
      </c>
      <c r="BQ51" s="1" t="s">
        <v>130</v>
      </c>
      <c r="BR51" s="1">
        <v>14.86636</v>
      </c>
      <c r="BS51" s="1">
        <v>118</v>
      </c>
      <c r="BT51" s="1">
        <v>13.308680000000001</v>
      </c>
      <c r="BU51" s="1">
        <v>33</v>
      </c>
      <c r="BV51" s="1">
        <v>11.255089999999999</v>
      </c>
      <c r="BW51" s="1">
        <v>24.659030000000001</v>
      </c>
      <c r="BX51" s="1">
        <v>0</v>
      </c>
      <c r="BY51" s="1">
        <v>13</v>
      </c>
      <c r="BZ51" s="1">
        <v>5.9199099999999998</v>
      </c>
      <c r="CA51" s="1">
        <v>17.434000000000001</v>
      </c>
      <c r="CB51" s="1">
        <v>0</v>
      </c>
      <c r="CC51" s="1">
        <v>11</v>
      </c>
      <c r="CD51" s="1">
        <v>2.99716</v>
      </c>
      <c r="CE51" s="1">
        <v>2.99716</v>
      </c>
      <c r="CF51" s="1">
        <v>0</v>
      </c>
      <c r="CG51" s="1">
        <v>1</v>
      </c>
      <c r="CH51" s="1" t="s">
        <v>130</v>
      </c>
      <c r="CI51" s="1" t="s">
        <v>130</v>
      </c>
      <c r="CJ51" s="1" t="s">
        <v>130</v>
      </c>
      <c r="CK51" s="1">
        <v>0</v>
      </c>
      <c r="CL51" s="1" t="s">
        <v>130</v>
      </c>
      <c r="CM51" s="1" t="s">
        <v>130</v>
      </c>
      <c r="CN51" s="1" t="s">
        <v>130</v>
      </c>
      <c r="CO51" s="1">
        <v>0</v>
      </c>
      <c r="CP51" s="1">
        <v>14.86636</v>
      </c>
      <c r="CQ51" s="1">
        <v>118</v>
      </c>
      <c r="CR51" s="1">
        <v>13.308680000000001</v>
      </c>
      <c r="CS51" s="1">
        <v>33</v>
      </c>
      <c r="CT51" s="1">
        <v>11.30531</v>
      </c>
      <c r="CU51" s="1">
        <v>24.659030000000001</v>
      </c>
      <c r="CV51" s="1">
        <v>0</v>
      </c>
      <c r="CW51" s="1">
        <v>13</v>
      </c>
      <c r="CX51" s="1">
        <v>5.9771999999999998</v>
      </c>
      <c r="CY51" s="1">
        <v>17.434000000000001</v>
      </c>
      <c r="CZ51" s="1">
        <v>0</v>
      </c>
      <c r="DA51" s="1">
        <v>11</v>
      </c>
      <c r="DB51" s="1">
        <v>2.99716</v>
      </c>
      <c r="DC51" s="1">
        <v>2.99716</v>
      </c>
      <c r="DD51" s="1">
        <v>0</v>
      </c>
      <c r="DE51" s="1">
        <v>1</v>
      </c>
      <c r="DF51" s="1" t="s">
        <v>130</v>
      </c>
      <c r="DG51" s="1" t="s">
        <v>130</v>
      </c>
      <c r="DH51" s="1" t="s">
        <v>130</v>
      </c>
      <c r="DI51" s="1">
        <v>0</v>
      </c>
      <c r="DJ51" s="1" t="s">
        <v>130</v>
      </c>
      <c r="DK51" s="1" t="s">
        <v>130</v>
      </c>
      <c r="DL51" s="1" t="s">
        <v>130</v>
      </c>
      <c r="DM51" s="1">
        <v>0</v>
      </c>
      <c r="DN51" s="1">
        <v>0</v>
      </c>
      <c r="DO51" s="1">
        <v>14.85608</v>
      </c>
      <c r="DP51" s="1">
        <v>3.8935300000000002</v>
      </c>
      <c r="DQ51" s="1">
        <v>30.719609999999999</v>
      </c>
      <c r="DR51" s="1">
        <v>7</v>
      </c>
      <c r="DS51" s="1">
        <v>1.98451</v>
      </c>
      <c r="DT51" s="1">
        <v>2.2167599999999998</v>
      </c>
      <c r="DU51" s="1">
        <v>1893.4164499999999</v>
      </c>
      <c r="DV51" s="1">
        <v>140.08833000000001</v>
      </c>
      <c r="DW51" s="1">
        <v>44</v>
      </c>
      <c r="DX51" s="1">
        <v>0</v>
      </c>
      <c r="DY51" s="3">
        <v>0.1030787037037037</v>
      </c>
      <c r="DZ51" t="str">
        <f>IF(GPS_Table[[#This Row],[Max Vel (% Max)]] &gt;= 90, "YES", "NO")</f>
        <v>NO</v>
      </c>
    </row>
    <row r="52" spans="1:130" ht="14.25" customHeight="1" x14ac:dyDescent="0.2">
      <c r="A52" s="1" t="s">
        <v>193</v>
      </c>
      <c r="B52" s="1" t="s">
        <v>135</v>
      </c>
      <c r="C52" s="1" t="s">
        <v>129</v>
      </c>
      <c r="D52" s="1">
        <v>21.099989999999998</v>
      </c>
      <c r="E52" s="1">
        <v>18.22315</v>
      </c>
      <c r="F52" s="1">
        <v>86.365650000000002</v>
      </c>
      <c r="G52" s="1">
        <v>0.19445999999999999</v>
      </c>
      <c r="H52" s="1">
        <v>304.91273000000001</v>
      </c>
      <c r="I52" s="1">
        <v>4878.6036999999997</v>
      </c>
      <c r="J52" s="3">
        <v>6.4351851851851853E-3</v>
      </c>
      <c r="K52" s="3">
        <v>0.10305555555555555</v>
      </c>
      <c r="L52" s="1">
        <v>346.97620000000001</v>
      </c>
      <c r="M52" s="1">
        <v>21.68601</v>
      </c>
      <c r="N52" s="1">
        <v>7.8514299999999997</v>
      </c>
      <c r="O52" s="1">
        <v>2.3378999999999999</v>
      </c>
      <c r="P52" s="1">
        <v>346.97620000000001</v>
      </c>
      <c r="Q52" s="1">
        <v>1731.6426200000001</v>
      </c>
      <c r="R52" s="3">
        <v>7.1759259259259259E-4</v>
      </c>
      <c r="S52" s="1">
        <v>264.99344000000002</v>
      </c>
      <c r="T52" s="1">
        <v>28</v>
      </c>
      <c r="U52" s="1">
        <v>13</v>
      </c>
      <c r="V52" s="3">
        <v>1.3888888888888889E-4</v>
      </c>
      <c r="W52" s="1">
        <v>74.934380000000004</v>
      </c>
      <c r="X52" s="1">
        <v>0</v>
      </c>
      <c r="Y52" s="1">
        <v>6.16798</v>
      </c>
      <c r="Z52" s="3">
        <v>1.1574074074074073E-5</v>
      </c>
      <c r="AA52" s="1">
        <v>30</v>
      </c>
      <c r="AB52" s="1">
        <v>53.018369999999997</v>
      </c>
      <c r="AC52" s="3">
        <v>5.5555555555555556E-4</v>
      </c>
      <c r="AD52" s="1">
        <v>30</v>
      </c>
      <c r="AE52" s="1">
        <v>6</v>
      </c>
      <c r="AF52" s="1">
        <v>8.9129500000000004</v>
      </c>
      <c r="AG52" s="3">
        <v>6.9444444444444444E-5</v>
      </c>
      <c r="AH52" s="1">
        <v>6</v>
      </c>
      <c r="AI52" s="1">
        <v>0</v>
      </c>
      <c r="AJ52" s="1">
        <v>7.7537200000000004</v>
      </c>
      <c r="AK52" s="3">
        <v>2.3148148148148147E-5</v>
      </c>
      <c r="AL52" s="1">
        <v>0</v>
      </c>
      <c r="AM52" s="1">
        <v>4.6486099999999997</v>
      </c>
      <c r="AN52" s="1">
        <v>-4.0297700000000001</v>
      </c>
      <c r="AO52" s="1">
        <v>228.75109</v>
      </c>
      <c r="AP52" s="1">
        <v>17</v>
      </c>
      <c r="AQ52" s="1">
        <v>47.440939999999998</v>
      </c>
      <c r="AR52" s="1">
        <v>6</v>
      </c>
      <c r="AS52" s="1">
        <v>27.14348</v>
      </c>
      <c r="AT52" s="1">
        <v>27.14348</v>
      </c>
      <c r="AU52" s="1">
        <v>2</v>
      </c>
      <c r="AV52" s="1">
        <v>0</v>
      </c>
      <c r="AW52" s="1">
        <v>0</v>
      </c>
      <c r="AX52" s="1">
        <v>0</v>
      </c>
      <c r="AY52" s="1">
        <v>2542.8097499999999</v>
      </c>
      <c r="AZ52" s="1">
        <v>77</v>
      </c>
      <c r="BA52" s="1">
        <v>77</v>
      </c>
      <c r="BB52" s="1">
        <v>19</v>
      </c>
      <c r="BC52" s="1">
        <v>19</v>
      </c>
      <c r="BD52" s="1">
        <v>13</v>
      </c>
      <c r="BE52" s="1">
        <v>6</v>
      </c>
      <c r="BF52" s="1">
        <v>303.33551</v>
      </c>
      <c r="BG52" s="1">
        <v>74.584419999999994</v>
      </c>
      <c r="BH52" s="1">
        <v>27.14348</v>
      </c>
      <c r="BI52" s="1">
        <v>0</v>
      </c>
      <c r="BJ52" s="1">
        <v>25</v>
      </c>
      <c r="BK52" s="1">
        <v>0</v>
      </c>
      <c r="BL52" s="1">
        <v>169.60717</v>
      </c>
      <c r="BM52" s="1">
        <v>0</v>
      </c>
      <c r="BN52" s="3">
        <v>0.10305555555555555</v>
      </c>
      <c r="BO52" s="1" t="s">
        <v>130</v>
      </c>
      <c r="BP52" s="1" t="s">
        <v>130</v>
      </c>
      <c r="BQ52" s="1" t="s">
        <v>130</v>
      </c>
      <c r="BR52" s="1">
        <v>14.27206</v>
      </c>
      <c r="BS52" s="1">
        <v>171</v>
      </c>
      <c r="BT52" s="1">
        <v>14.440519999999999</v>
      </c>
      <c r="BU52" s="1">
        <v>46</v>
      </c>
      <c r="BV52" s="1">
        <v>18.607810000000001</v>
      </c>
      <c r="BW52" s="1">
        <v>45.271210000000004</v>
      </c>
      <c r="BX52" s="1">
        <v>0</v>
      </c>
      <c r="BY52" s="1">
        <v>23</v>
      </c>
      <c r="BZ52" s="1">
        <v>16.97221</v>
      </c>
      <c r="CA52" s="1">
        <v>35.621200000000002</v>
      </c>
      <c r="CB52" s="1">
        <v>0</v>
      </c>
      <c r="CC52" s="1">
        <v>17</v>
      </c>
      <c r="CD52" s="1">
        <v>11.603020000000001</v>
      </c>
      <c r="CE52" s="1">
        <v>21.617419999999999</v>
      </c>
      <c r="CF52" s="1">
        <v>0</v>
      </c>
      <c r="CG52" s="1">
        <v>6</v>
      </c>
      <c r="CH52" s="1">
        <v>10.44346</v>
      </c>
      <c r="CI52" s="1">
        <v>15.81908</v>
      </c>
      <c r="CJ52" s="1">
        <v>0</v>
      </c>
      <c r="CK52" s="1">
        <v>2</v>
      </c>
      <c r="CL52" s="1" t="s">
        <v>130</v>
      </c>
      <c r="CM52" s="1" t="s">
        <v>130</v>
      </c>
      <c r="CN52" s="1" t="s">
        <v>130</v>
      </c>
      <c r="CO52" s="1">
        <v>0</v>
      </c>
      <c r="CP52" s="1">
        <v>13.99994</v>
      </c>
      <c r="CQ52" s="1">
        <v>175</v>
      </c>
      <c r="CR52" s="1">
        <v>14.440519999999999</v>
      </c>
      <c r="CS52" s="1">
        <v>46</v>
      </c>
      <c r="CT52" s="1">
        <v>18.607810000000001</v>
      </c>
      <c r="CU52" s="1">
        <v>45.271210000000004</v>
      </c>
      <c r="CV52" s="1">
        <v>0</v>
      </c>
      <c r="CW52" s="1">
        <v>23</v>
      </c>
      <c r="CX52" s="1">
        <v>16.97221</v>
      </c>
      <c r="CY52" s="1">
        <v>35.621200000000002</v>
      </c>
      <c r="CZ52" s="1">
        <v>0</v>
      </c>
      <c r="DA52" s="1">
        <v>17</v>
      </c>
      <c r="DB52" s="1">
        <v>11.603020000000001</v>
      </c>
      <c r="DC52" s="1">
        <v>21.617419999999999</v>
      </c>
      <c r="DD52" s="1">
        <v>0</v>
      </c>
      <c r="DE52" s="1">
        <v>6</v>
      </c>
      <c r="DF52" s="1">
        <v>10.44346</v>
      </c>
      <c r="DG52" s="1">
        <v>15.81908</v>
      </c>
      <c r="DH52" s="1">
        <v>0</v>
      </c>
      <c r="DI52" s="1">
        <v>2</v>
      </c>
      <c r="DJ52" s="1" t="s">
        <v>130</v>
      </c>
      <c r="DK52" s="1" t="s">
        <v>130</v>
      </c>
      <c r="DL52" s="1" t="s">
        <v>130</v>
      </c>
      <c r="DM52" s="1">
        <v>0</v>
      </c>
      <c r="DN52" s="1">
        <v>27.14348</v>
      </c>
      <c r="DO52" s="1">
        <v>54.078180000000003</v>
      </c>
      <c r="DP52" s="1">
        <v>3.5494599999999998</v>
      </c>
      <c r="DQ52" s="1">
        <v>97.769030000000001</v>
      </c>
      <c r="DR52" s="1">
        <v>19</v>
      </c>
      <c r="DS52" s="1">
        <v>3.6025499999999999</v>
      </c>
      <c r="DT52" s="1">
        <v>6.21767</v>
      </c>
      <c r="DU52" s="1">
        <v>2539.94967</v>
      </c>
      <c r="DV52" s="1">
        <v>137.09833</v>
      </c>
      <c r="DW52" s="1">
        <v>77</v>
      </c>
      <c r="DX52" s="1">
        <v>0</v>
      </c>
      <c r="DY52" s="3">
        <v>0.10305555555555555</v>
      </c>
      <c r="DZ52" t="str">
        <f>IF(GPS_Table[[#This Row],[Max Vel (% Max)]] &gt;= 90, "YES", "NO")</f>
        <v>NO</v>
      </c>
    </row>
    <row r="53" spans="1:130" ht="14.25" customHeight="1" x14ac:dyDescent="0.2">
      <c r="A53" s="1" t="s">
        <v>194</v>
      </c>
      <c r="B53" s="1" t="s">
        <v>135</v>
      </c>
      <c r="C53" s="1" t="s">
        <v>129</v>
      </c>
      <c r="D53" s="1">
        <v>22.099989999999998</v>
      </c>
      <c r="E53" s="1">
        <v>17.915019999999998</v>
      </c>
      <c r="F53" s="1">
        <v>81.063469999999995</v>
      </c>
      <c r="G53" s="1">
        <v>0.19850999999999999</v>
      </c>
      <c r="H53" s="1">
        <v>300.96823000000001</v>
      </c>
      <c r="I53" s="1">
        <v>4815.49161</v>
      </c>
      <c r="J53" s="3">
        <v>6.4351851851851853E-3</v>
      </c>
      <c r="K53" s="3">
        <v>0.1030787037037037</v>
      </c>
      <c r="L53" s="1">
        <v>437.01429000000002</v>
      </c>
      <c r="M53" s="1">
        <v>27.313389999999998</v>
      </c>
      <c r="N53" s="1">
        <v>5.2736799999999997</v>
      </c>
      <c r="O53" s="1">
        <v>2.9438599999999999</v>
      </c>
      <c r="P53" s="1">
        <v>437.01429000000002</v>
      </c>
      <c r="Q53" s="1">
        <v>1768.0847900000001</v>
      </c>
      <c r="R53" s="3">
        <v>6.018518518518519E-4</v>
      </c>
      <c r="S53" s="1">
        <v>233.49737999999999</v>
      </c>
      <c r="T53" s="1">
        <v>36</v>
      </c>
      <c r="U53" s="1">
        <v>11</v>
      </c>
      <c r="V53" s="3">
        <v>1.7361111111111112E-4</v>
      </c>
      <c r="W53" s="1">
        <v>55.971130000000002</v>
      </c>
      <c r="X53" s="1">
        <v>0</v>
      </c>
      <c r="Y53" s="1">
        <v>3.1605400000000001</v>
      </c>
      <c r="Z53" s="3">
        <v>0</v>
      </c>
      <c r="AA53" s="1">
        <v>25</v>
      </c>
      <c r="AB53" s="1">
        <v>48.414259999999999</v>
      </c>
      <c r="AC53" s="3">
        <v>3.8194444444444446E-4</v>
      </c>
      <c r="AD53" s="1">
        <v>25</v>
      </c>
      <c r="AE53" s="1">
        <v>3</v>
      </c>
      <c r="AF53" s="1">
        <v>2.5262500000000001</v>
      </c>
      <c r="AG53" s="3">
        <v>1.1574074074074073E-5</v>
      </c>
      <c r="AH53" s="1">
        <v>3</v>
      </c>
      <c r="AI53" s="1">
        <v>0</v>
      </c>
      <c r="AJ53" s="1">
        <v>0.41556999999999999</v>
      </c>
      <c r="AK53" s="3">
        <v>0</v>
      </c>
      <c r="AL53" s="1">
        <v>0</v>
      </c>
      <c r="AM53" s="1">
        <v>4.6871499999999999</v>
      </c>
      <c r="AN53" s="1">
        <v>-4.5380200000000004</v>
      </c>
      <c r="AO53" s="1">
        <v>139.63255000000001</v>
      </c>
      <c r="AP53" s="1">
        <v>12</v>
      </c>
      <c r="AQ53" s="1">
        <v>28.729220000000002</v>
      </c>
      <c r="AR53" s="1">
        <v>2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2576.2636900000002</v>
      </c>
      <c r="AZ53" s="1">
        <v>75</v>
      </c>
      <c r="BA53" s="1">
        <v>75</v>
      </c>
      <c r="BB53" s="1">
        <v>14</v>
      </c>
      <c r="BC53" s="1">
        <v>14</v>
      </c>
      <c r="BD53" s="1">
        <v>11</v>
      </c>
      <c r="BE53" s="1">
        <v>3</v>
      </c>
      <c r="BF53" s="1">
        <v>168.36177000000001</v>
      </c>
      <c r="BG53" s="1">
        <v>28.729220000000002</v>
      </c>
      <c r="BH53" s="1">
        <v>0</v>
      </c>
      <c r="BI53" s="1">
        <v>0</v>
      </c>
      <c r="BJ53" s="1">
        <v>14</v>
      </c>
      <c r="BK53" s="1">
        <v>0</v>
      </c>
      <c r="BL53" s="1">
        <v>163.00443000000001</v>
      </c>
      <c r="BM53" s="1">
        <v>0</v>
      </c>
      <c r="BN53" s="3">
        <v>0.1030787037037037</v>
      </c>
      <c r="BO53" s="1" t="s">
        <v>130</v>
      </c>
      <c r="BP53" s="1" t="s">
        <v>130</v>
      </c>
      <c r="BQ53" s="1" t="s">
        <v>130</v>
      </c>
      <c r="BR53" s="1">
        <v>14.90626</v>
      </c>
      <c r="BS53" s="1">
        <v>165</v>
      </c>
      <c r="BT53" s="1">
        <v>15.684049999999999</v>
      </c>
      <c r="BU53" s="1">
        <v>34</v>
      </c>
      <c r="BV53" s="1">
        <v>14.616770000000001</v>
      </c>
      <c r="BW53" s="1">
        <v>33.554380000000002</v>
      </c>
      <c r="BX53" s="1">
        <v>0</v>
      </c>
      <c r="BY53" s="1">
        <v>20</v>
      </c>
      <c r="BZ53" s="1">
        <v>14.6302</v>
      </c>
      <c r="CA53" s="1">
        <v>29.008120000000002</v>
      </c>
      <c r="CB53" s="1">
        <v>5.3226899999999997</v>
      </c>
      <c r="CC53" s="1">
        <v>11</v>
      </c>
      <c r="CD53" s="1">
        <v>13.31203</v>
      </c>
      <c r="CE53" s="1">
        <v>14.22578</v>
      </c>
      <c r="CF53" s="1">
        <v>12.39827</v>
      </c>
      <c r="CG53" s="1">
        <v>2</v>
      </c>
      <c r="CH53" s="1" t="s">
        <v>130</v>
      </c>
      <c r="CI53" s="1" t="s">
        <v>130</v>
      </c>
      <c r="CJ53" s="1" t="s">
        <v>130</v>
      </c>
      <c r="CK53" s="1">
        <v>0</v>
      </c>
      <c r="CL53" s="1" t="s">
        <v>130</v>
      </c>
      <c r="CM53" s="1" t="s">
        <v>130</v>
      </c>
      <c r="CN53" s="1" t="s">
        <v>130</v>
      </c>
      <c r="CO53" s="1">
        <v>0</v>
      </c>
      <c r="CP53" s="1">
        <v>13.95125</v>
      </c>
      <c r="CQ53" s="1">
        <v>195</v>
      </c>
      <c r="CR53" s="1">
        <v>14.00254</v>
      </c>
      <c r="CS53" s="1">
        <v>49</v>
      </c>
      <c r="CT53" s="1">
        <v>15.041</v>
      </c>
      <c r="CU53" s="1">
        <v>36.351700000000001</v>
      </c>
      <c r="CV53" s="1">
        <v>0</v>
      </c>
      <c r="CW53" s="1">
        <v>29</v>
      </c>
      <c r="CX53" s="1">
        <v>14.81386</v>
      </c>
      <c r="CY53" s="1">
        <v>32.610289999999999</v>
      </c>
      <c r="CZ53" s="1">
        <v>0</v>
      </c>
      <c r="DA53" s="1">
        <v>17</v>
      </c>
      <c r="DB53" s="1">
        <v>10.8652</v>
      </c>
      <c r="DC53" s="1">
        <v>24.844729999999998</v>
      </c>
      <c r="DD53" s="1">
        <v>3.68147</v>
      </c>
      <c r="DE53" s="1">
        <v>8</v>
      </c>
      <c r="DF53" s="1">
        <v>16.445810000000002</v>
      </c>
      <c r="DG53" s="1">
        <v>18.039280000000002</v>
      </c>
      <c r="DH53" s="1">
        <v>14.852359999999999</v>
      </c>
      <c r="DI53" s="1">
        <v>2</v>
      </c>
      <c r="DJ53" s="1">
        <v>5.07986</v>
      </c>
      <c r="DK53" s="1">
        <v>5.07986</v>
      </c>
      <c r="DL53" s="1">
        <v>0</v>
      </c>
      <c r="DM53" s="1">
        <v>1</v>
      </c>
      <c r="DN53" s="1">
        <v>0</v>
      </c>
      <c r="DO53" s="1">
        <v>33.154640000000001</v>
      </c>
      <c r="DP53" s="1">
        <v>3.6716600000000001</v>
      </c>
      <c r="DQ53" s="1">
        <v>62.07349</v>
      </c>
      <c r="DR53" s="1">
        <v>14</v>
      </c>
      <c r="DS53" s="1">
        <v>2.9747300000000001</v>
      </c>
      <c r="DT53" s="1">
        <v>3.4962499999999999</v>
      </c>
      <c r="DU53" s="1">
        <v>2572.9658800000002</v>
      </c>
      <c r="DV53" s="1">
        <v>134.24666999999999</v>
      </c>
      <c r="DW53" s="1">
        <v>75</v>
      </c>
      <c r="DX53" s="1">
        <v>0</v>
      </c>
      <c r="DY53" s="3">
        <v>0.1030787037037037</v>
      </c>
      <c r="DZ53" t="str">
        <f>IF(GPS_Table[[#This Row],[Max Vel (% Max)]] &gt;= 90, "YES", "NO")</f>
        <v>NO</v>
      </c>
    </row>
    <row r="54" spans="1:130" ht="14.25" customHeight="1" x14ac:dyDescent="0.2">
      <c r="A54" s="1" t="s">
        <v>195</v>
      </c>
      <c r="B54" s="1" t="s">
        <v>128</v>
      </c>
      <c r="C54" s="1" t="s">
        <v>129</v>
      </c>
      <c r="D54" s="1">
        <v>20.7</v>
      </c>
      <c r="E54" s="1">
        <v>16.706009999999999</v>
      </c>
      <c r="F54" s="1">
        <v>80.70532</v>
      </c>
      <c r="G54" s="1">
        <v>0.22822999999999999</v>
      </c>
      <c r="H54" s="1">
        <v>351.68346000000003</v>
      </c>
      <c r="I54" s="1">
        <v>5978.6188300000003</v>
      </c>
      <c r="J54" s="3">
        <v>6.053240740740741E-3</v>
      </c>
      <c r="K54" s="3">
        <v>0.1030787037037037</v>
      </c>
      <c r="L54" s="1">
        <v>406.60915</v>
      </c>
      <c r="M54" s="1">
        <v>23.918189999999999</v>
      </c>
      <c r="N54" s="1">
        <v>5.1065300000000002</v>
      </c>
      <c r="O54" s="1">
        <v>2.7390500000000002</v>
      </c>
      <c r="P54" s="1">
        <v>406.60915</v>
      </c>
      <c r="Q54" s="1">
        <v>2032.8428799999999</v>
      </c>
      <c r="R54" s="3">
        <v>7.1759259259259259E-4</v>
      </c>
      <c r="S54" s="1">
        <v>268.50394</v>
      </c>
      <c r="T54" s="1">
        <v>45</v>
      </c>
      <c r="U54" s="1">
        <v>14</v>
      </c>
      <c r="V54" s="3">
        <v>1.3888888888888889E-4</v>
      </c>
      <c r="W54" s="1">
        <v>41.863520000000001</v>
      </c>
      <c r="X54" s="1">
        <v>0</v>
      </c>
      <c r="Y54" s="1">
        <v>0.40464</v>
      </c>
      <c r="Z54" s="3">
        <v>0</v>
      </c>
      <c r="AA54" s="1">
        <v>36</v>
      </c>
      <c r="AB54" s="1">
        <v>46.095799999999997</v>
      </c>
      <c r="AC54" s="3">
        <v>3.7037037037037035E-4</v>
      </c>
      <c r="AD54" s="1">
        <v>36</v>
      </c>
      <c r="AE54" s="1">
        <v>4</v>
      </c>
      <c r="AF54" s="1">
        <v>8.5192499999999995</v>
      </c>
      <c r="AG54" s="3">
        <v>4.6296296296296294E-5</v>
      </c>
      <c r="AH54" s="1">
        <v>4</v>
      </c>
      <c r="AI54" s="1">
        <v>0</v>
      </c>
      <c r="AJ54" s="1">
        <v>0.36088999999999999</v>
      </c>
      <c r="AK54" s="3">
        <v>0</v>
      </c>
      <c r="AL54" s="1">
        <v>0</v>
      </c>
      <c r="AM54" s="1">
        <v>4.7250699999999997</v>
      </c>
      <c r="AN54" s="1">
        <v>-4.4801399999999996</v>
      </c>
      <c r="AO54" s="1">
        <v>119.51006</v>
      </c>
      <c r="AP54" s="1">
        <v>11</v>
      </c>
      <c r="AQ54" s="1">
        <v>13.23272</v>
      </c>
      <c r="AR54" s="1">
        <v>2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3164.4018900000001</v>
      </c>
      <c r="AZ54" s="1">
        <v>99</v>
      </c>
      <c r="BA54" s="1">
        <v>99</v>
      </c>
      <c r="BB54" s="1">
        <v>18</v>
      </c>
      <c r="BC54" s="1">
        <v>18</v>
      </c>
      <c r="BD54" s="1">
        <v>14</v>
      </c>
      <c r="BE54" s="1">
        <v>4</v>
      </c>
      <c r="BF54" s="1">
        <v>132.74278000000001</v>
      </c>
      <c r="BG54" s="1">
        <v>13.23272</v>
      </c>
      <c r="BH54" s="1">
        <v>0</v>
      </c>
      <c r="BI54" s="1">
        <v>0</v>
      </c>
      <c r="BJ54" s="1">
        <v>13</v>
      </c>
      <c r="BK54" s="1">
        <v>0</v>
      </c>
      <c r="BL54" s="1">
        <v>185.81133</v>
      </c>
      <c r="BM54" s="1">
        <v>0</v>
      </c>
      <c r="BN54" s="3">
        <v>0.1030787037037037</v>
      </c>
      <c r="BO54" s="1" t="s">
        <v>130</v>
      </c>
      <c r="BP54" s="1" t="s">
        <v>130</v>
      </c>
      <c r="BQ54" s="1" t="s">
        <v>130</v>
      </c>
      <c r="BR54" s="1">
        <v>12.815910000000001</v>
      </c>
      <c r="BS54" s="1">
        <v>231</v>
      </c>
      <c r="BT54" s="1">
        <v>11.219329999999999</v>
      </c>
      <c r="BU54" s="1">
        <v>53</v>
      </c>
      <c r="BV54" s="1">
        <v>10.66919</v>
      </c>
      <c r="BW54" s="1">
        <v>34.399590000000003</v>
      </c>
      <c r="BX54" s="1">
        <v>0</v>
      </c>
      <c r="BY54" s="1">
        <v>27</v>
      </c>
      <c r="BZ54" s="1">
        <v>11.71312</v>
      </c>
      <c r="CA54" s="1">
        <v>27.634530000000002</v>
      </c>
      <c r="CB54" s="1">
        <v>0</v>
      </c>
      <c r="CC54" s="1">
        <v>11</v>
      </c>
      <c r="CD54" s="1">
        <v>5.5888799999999996</v>
      </c>
      <c r="CE54" s="1">
        <v>8.3223800000000008</v>
      </c>
      <c r="CF54" s="1">
        <v>2.8553799999999998</v>
      </c>
      <c r="CG54" s="1">
        <v>2</v>
      </c>
      <c r="CH54" s="1" t="s">
        <v>130</v>
      </c>
      <c r="CI54" s="1" t="s">
        <v>130</v>
      </c>
      <c r="CJ54" s="1" t="s">
        <v>130</v>
      </c>
      <c r="CK54" s="1">
        <v>0</v>
      </c>
      <c r="CL54" s="1" t="s">
        <v>130</v>
      </c>
      <c r="CM54" s="1" t="s">
        <v>130</v>
      </c>
      <c r="CN54" s="1" t="s">
        <v>130</v>
      </c>
      <c r="CO54" s="1">
        <v>0</v>
      </c>
      <c r="CP54" s="1">
        <v>12.7361</v>
      </c>
      <c r="CQ54" s="1">
        <v>231</v>
      </c>
      <c r="CR54" s="1">
        <v>11.170809999999999</v>
      </c>
      <c r="CS54" s="1">
        <v>53</v>
      </c>
      <c r="CT54" s="1">
        <v>10.34845</v>
      </c>
      <c r="CU54" s="1">
        <v>34.399590000000003</v>
      </c>
      <c r="CV54" s="1">
        <v>0</v>
      </c>
      <c r="CW54" s="1">
        <v>28</v>
      </c>
      <c r="CX54" s="1">
        <v>11.762639999999999</v>
      </c>
      <c r="CY54" s="1">
        <v>27.634530000000002</v>
      </c>
      <c r="CZ54" s="1">
        <v>0</v>
      </c>
      <c r="DA54" s="1">
        <v>11</v>
      </c>
      <c r="DB54" s="1">
        <v>5.5888799999999996</v>
      </c>
      <c r="DC54" s="1">
        <v>8.3223800000000008</v>
      </c>
      <c r="DD54" s="1">
        <v>2.8553799999999998</v>
      </c>
      <c r="DE54" s="1">
        <v>2</v>
      </c>
      <c r="DF54" s="1" t="s">
        <v>130</v>
      </c>
      <c r="DG54" s="1" t="s">
        <v>130</v>
      </c>
      <c r="DH54" s="1" t="s">
        <v>130</v>
      </c>
      <c r="DI54" s="1">
        <v>0</v>
      </c>
      <c r="DJ54" s="1" t="s">
        <v>130</v>
      </c>
      <c r="DK54" s="1" t="s">
        <v>130</v>
      </c>
      <c r="DL54" s="1" t="s">
        <v>130</v>
      </c>
      <c r="DM54" s="1">
        <v>0</v>
      </c>
      <c r="DN54" s="1">
        <v>0</v>
      </c>
      <c r="DO54" s="1">
        <v>27.713180000000001</v>
      </c>
      <c r="DP54" s="1">
        <v>3.4001899999999998</v>
      </c>
      <c r="DQ54" s="1">
        <v>51.148299999999999</v>
      </c>
      <c r="DR54" s="1">
        <v>18</v>
      </c>
      <c r="DS54" s="1">
        <v>2.7052999999999998</v>
      </c>
      <c r="DT54" s="1">
        <v>2.2202899999999999</v>
      </c>
      <c r="DU54" s="1">
        <v>3158.68327</v>
      </c>
      <c r="DV54" s="1">
        <v>136.17500000000001</v>
      </c>
      <c r="DW54" s="1">
        <v>99</v>
      </c>
      <c r="DX54" s="1">
        <v>0</v>
      </c>
      <c r="DY54" s="3">
        <v>0.1030787037037037</v>
      </c>
      <c r="DZ54" t="str">
        <f>IF(GPS_Table[[#This Row],[Max Vel (% Max)]] &gt;= 90, "YES", "NO")</f>
        <v>NO</v>
      </c>
    </row>
    <row r="55" spans="1:130" ht="14.25" customHeight="1" x14ac:dyDescent="0.2">
      <c r="A55" s="1" t="s">
        <v>196</v>
      </c>
      <c r="B55" s="1" t="s">
        <v>128</v>
      </c>
      <c r="C55" s="1" t="s">
        <v>129</v>
      </c>
      <c r="D55" s="1">
        <v>21.7</v>
      </c>
      <c r="E55" s="1">
        <v>19.09637</v>
      </c>
      <c r="F55" s="1">
        <v>88.001670000000004</v>
      </c>
      <c r="G55" s="1">
        <v>0.22600999999999999</v>
      </c>
      <c r="H55" s="1">
        <v>336.65994000000001</v>
      </c>
      <c r="I55" s="1">
        <v>5723.21893</v>
      </c>
      <c r="J55" s="3">
        <v>6.053240740740741E-3</v>
      </c>
      <c r="K55" s="3">
        <v>0.1030787037037037</v>
      </c>
      <c r="L55" s="1">
        <v>497.7885</v>
      </c>
      <c r="M55" s="1">
        <v>29.281680000000001</v>
      </c>
      <c r="N55" s="1">
        <v>7.4432200000000002</v>
      </c>
      <c r="O55" s="1">
        <v>3.3532600000000001</v>
      </c>
      <c r="P55" s="1">
        <v>497.7885</v>
      </c>
      <c r="Q55" s="1">
        <v>2013.0738899999999</v>
      </c>
      <c r="R55" s="3">
        <v>5.5555555555555556E-4</v>
      </c>
      <c r="S55" s="1">
        <v>242.71654000000001</v>
      </c>
      <c r="T55" s="1">
        <v>34</v>
      </c>
      <c r="U55" s="1">
        <v>16</v>
      </c>
      <c r="V55" s="3">
        <v>1.7361111111111112E-4</v>
      </c>
      <c r="W55" s="1">
        <v>59.350389999999997</v>
      </c>
      <c r="X55" s="1">
        <v>1</v>
      </c>
      <c r="Y55" s="1">
        <v>1.4217</v>
      </c>
      <c r="Z55" s="3">
        <v>0</v>
      </c>
      <c r="AA55" s="1">
        <v>32</v>
      </c>
      <c r="AB55" s="1">
        <v>54.14479</v>
      </c>
      <c r="AC55" s="3">
        <v>4.0509259259259258E-4</v>
      </c>
      <c r="AD55" s="1">
        <v>32</v>
      </c>
      <c r="AE55" s="1">
        <v>5</v>
      </c>
      <c r="AF55" s="1">
        <v>4.2213500000000002</v>
      </c>
      <c r="AG55" s="3">
        <v>4.6296296296296294E-5</v>
      </c>
      <c r="AH55" s="1">
        <v>5</v>
      </c>
      <c r="AI55" s="1">
        <v>2</v>
      </c>
      <c r="AJ55" s="1">
        <v>2.2637800000000001</v>
      </c>
      <c r="AK55" s="3">
        <v>0</v>
      </c>
      <c r="AL55" s="1">
        <v>2</v>
      </c>
      <c r="AM55" s="1">
        <v>5.9794</v>
      </c>
      <c r="AN55" s="1">
        <v>-6.4737200000000001</v>
      </c>
      <c r="AO55" s="1">
        <v>103.84952</v>
      </c>
      <c r="AP55" s="1">
        <v>14</v>
      </c>
      <c r="AQ55" s="1">
        <v>27.02318</v>
      </c>
      <c r="AR55" s="1">
        <v>4</v>
      </c>
      <c r="AS55" s="1">
        <v>19.378830000000001</v>
      </c>
      <c r="AT55" s="1">
        <v>19.378830000000001</v>
      </c>
      <c r="AU55" s="1">
        <v>1</v>
      </c>
      <c r="AV55" s="1">
        <v>0</v>
      </c>
      <c r="AW55" s="1">
        <v>0</v>
      </c>
      <c r="AX55" s="1">
        <v>0</v>
      </c>
      <c r="AY55" s="1">
        <v>2577.3090400000001</v>
      </c>
      <c r="AZ55" s="1">
        <v>90</v>
      </c>
      <c r="BA55" s="1">
        <v>90</v>
      </c>
      <c r="BB55" s="1">
        <v>24</v>
      </c>
      <c r="BC55" s="1">
        <v>24</v>
      </c>
      <c r="BD55" s="1">
        <v>17</v>
      </c>
      <c r="BE55" s="1">
        <v>7</v>
      </c>
      <c r="BF55" s="1">
        <v>150.25153</v>
      </c>
      <c r="BG55" s="1">
        <v>46.402009999999997</v>
      </c>
      <c r="BH55" s="1">
        <v>19.378830000000001</v>
      </c>
      <c r="BI55" s="1">
        <v>0</v>
      </c>
      <c r="BJ55" s="1">
        <v>19</v>
      </c>
      <c r="BK55" s="1">
        <v>0</v>
      </c>
      <c r="BL55" s="1">
        <v>182.71092999999999</v>
      </c>
      <c r="BM55" s="1">
        <v>0</v>
      </c>
      <c r="BN55" s="3">
        <v>0.1030787037037037</v>
      </c>
      <c r="BO55" s="1" t="s">
        <v>130</v>
      </c>
      <c r="BP55" s="1" t="s">
        <v>130</v>
      </c>
      <c r="BQ55" s="1" t="s">
        <v>130</v>
      </c>
      <c r="BR55" s="1">
        <v>12.28651</v>
      </c>
      <c r="BS55" s="1">
        <v>199</v>
      </c>
      <c r="BT55" s="1">
        <v>12.164199999999999</v>
      </c>
      <c r="BU55" s="1">
        <v>38</v>
      </c>
      <c r="BV55" s="1">
        <v>11.61307</v>
      </c>
      <c r="BW55" s="1">
        <v>36.345149999999997</v>
      </c>
      <c r="BX55" s="1">
        <v>1.4184099999999999</v>
      </c>
      <c r="BY55" s="1">
        <v>22</v>
      </c>
      <c r="BZ55" s="1">
        <v>10.07132</v>
      </c>
      <c r="CA55" s="1">
        <v>32.174149999999997</v>
      </c>
      <c r="CB55" s="1">
        <v>1.2969999999999999</v>
      </c>
      <c r="CC55" s="1">
        <v>14</v>
      </c>
      <c r="CD55" s="1">
        <v>11.09116</v>
      </c>
      <c r="CE55" s="1">
        <v>22.750409999999999</v>
      </c>
      <c r="CF55" s="1">
        <v>4.5648200000000001</v>
      </c>
      <c r="CG55" s="1">
        <v>4</v>
      </c>
      <c r="CH55" s="1">
        <v>16.87331</v>
      </c>
      <c r="CI55" s="1">
        <v>16.87331</v>
      </c>
      <c r="CJ55" s="1">
        <v>0</v>
      </c>
      <c r="CK55" s="1">
        <v>1</v>
      </c>
      <c r="CL55" s="1" t="s">
        <v>130</v>
      </c>
      <c r="CM55" s="1" t="s">
        <v>130</v>
      </c>
      <c r="CN55" s="1" t="s">
        <v>130</v>
      </c>
      <c r="CO55" s="1">
        <v>0</v>
      </c>
      <c r="CP55" s="1">
        <v>12.45899</v>
      </c>
      <c r="CQ55" s="1">
        <v>204</v>
      </c>
      <c r="CR55" s="1">
        <v>11.40863</v>
      </c>
      <c r="CS55" s="1">
        <v>44</v>
      </c>
      <c r="CT55" s="1">
        <v>10.904730000000001</v>
      </c>
      <c r="CU55" s="1">
        <v>37.362270000000002</v>
      </c>
      <c r="CV55" s="1">
        <v>1.4184099999999999</v>
      </c>
      <c r="CW55" s="1">
        <v>25</v>
      </c>
      <c r="CX55" s="1">
        <v>11.051019999999999</v>
      </c>
      <c r="CY55" s="1">
        <v>32.890369999999997</v>
      </c>
      <c r="CZ55" s="1">
        <v>1.2969999999999999</v>
      </c>
      <c r="DA55" s="1">
        <v>14</v>
      </c>
      <c r="DB55" s="1">
        <v>12.685589999999999</v>
      </c>
      <c r="DC55" s="1">
        <v>24.255199999999999</v>
      </c>
      <c r="DD55" s="1">
        <v>6.99688</v>
      </c>
      <c r="DE55" s="1">
        <v>4</v>
      </c>
      <c r="DF55" s="1">
        <v>12.705579999999999</v>
      </c>
      <c r="DG55" s="1">
        <v>19.550609999999999</v>
      </c>
      <c r="DH55" s="1">
        <v>5.8605499999999999</v>
      </c>
      <c r="DI55" s="1">
        <v>2</v>
      </c>
      <c r="DJ55" s="1" t="s">
        <v>130</v>
      </c>
      <c r="DK55" s="1">
        <v>0</v>
      </c>
      <c r="DL55" s="1">
        <v>0</v>
      </c>
      <c r="DM55" s="1">
        <v>0</v>
      </c>
      <c r="DN55" s="1">
        <v>19.378830000000001</v>
      </c>
      <c r="DO55" s="1">
        <v>41.674860000000002</v>
      </c>
      <c r="DP55" s="1">
        <v>3.5173800000000002</v>
      </c>
      <c r="DQ55" s="1">
        <v>67.257220000000004</v>
      </c>
      <c r="DR55" s="1">
        <v>24</v>
      </c>
      <c r="DS55" s="1">
        <v>2.1093299999999999</v>
      </c>
      <c r="DT55" s="1">
        <v>2.6253000000000002</v>
      </c>
      <c r="DU55" s="1">
        <v>2551.6732400000001</v>
      </c>
      <c r="DV55" s="1">
        <v>134.85167000000001</v>
      </c>
      <c r="DW55" s="1">
        <v>90</v>
      </c>
      <c r="DX55" s="1">
        <v>1</v>
      </c>
      <c r="DY55" s="3">
        <v>0.1030787037037037</v>
      </c>
      <c r="DZ55" t="str">
        <f>IF(GPS_Table[[#This Row],[Max Vel (% Max)]] &gt;= 90, "YES", "NO")</f>
        <v>NO</v>
      </c>
    </row>
    <row r="56" spans="1:130" ht="14.25" customHeight="1" x14ac:dyDescent="0.2">
      <c r="A56" s="1" t="s">
        <v>197</v>
      </c>
      <c r="B56" s="1" t="s">
        <v>128</v>
      </c>
      <c r="C56" s="1" t="s">
        <v>129</v>
      </c>
      <c r="D56" s="1">
        <v>21</v>
      </c>
      <c r="E56" s="1">
        <v>17.484210000000001</v>
      </c>
      <c r="F56" s="1">
        <v>83.258120000000005</v>
      </c>
      <c r="G56" s="1">
        <v>0.20946999999999999</v>
      </c>
      <c r="H56" s="1">
        <v>285.61802</v>
      </c>
      <c r="I56" s="1">
        <v>4855.5062699999999</v>
      </c>
      <c r="J56" s="3">
        <v>6.053240740740741E-3</v>
      </c>
      <c r="K56" s="3">
        <v>0.1030787037037037</v>
      </c>
      <c r="L56" s="1">
        <v>418.72124000000002</v>
      </c>
      <c r="M56" s="1">
        <v>24.630659999999999</v>
      </c>
      <c r="N56" s="1">
        <v>5.3831600000000002</v>
      </c>
      <c r="O56" s="1">
        <v>2.82064</v>
      </c>
      <c r="P56" s="1">
        <v>418.72124000000002</v>
      </c>
      <c r="Q56" s="1">
        <v>1865.73614</v>
      </c>
      <c r="R56" s="3">
        <v>5.4398148148148144E-4</v>
      </c>
      <c r="S56" s="1">
        <v>210.10498999999999</v>
      </c>
      <c r="T56" s="1">
        <v>43</v>
      </c>
      <c r="U56" s="1">
        <v>9</v>
      </c>
      <c r="V56" s="3">
        <v>2.0833333333333335E-4</v>
      </c>
      <c r="W56" s="1">
        <v>59.72222</v>
      </c>
      <c r="X56" s="1">
        <v>0</v>
      </c>
      <c r="Y56" s="1">
        <v>0</v>
      </c>
      <c r="Z56" s="3">
        <v>0</v>
      </c>
      <c r="AA56" s="1">
        <v>18</v>
      </c>
      <c r="AB56" s="1">
        <v>54.330710000000003</v>
      </c>
      <c r="AC56" s="3">
        <v>3.8194444444444446E-4</v>
      </c>
      <c r="AD56" s="1">
        <v>18</v>
      </c>
      <c r="AE56" s="1">
        <v>9</v>
      </c>
      <c r="AF56" s="1">
        <v>11.12205</v>
      </c>
      <c r="AG56" s="3">
        <v>9.2592592592592588E-5</v>
      </c>
      <c r="AH56" s="1">
        <v>9</v>
      </c>
      <c r="AI56" s="1">
        <v>1</v>
      </c>
      <c r="AJ56" s="1">
        <v>1.19204</v>
      </c>
      <c r="AK56" s="3">
        <v>0</v>
      </c>
      <c r="AL56" s="1">
        <v>1</v>
      </c>
      <c r="AM56" s="1">
        <v>4.4661499999999998</v>
      </c>
      <c r="AN56" s="1">
        <v>-5.3681599999999996</v>
      </c>
      <c r="AO56" s="1">
        <v>130.40244999999999</v>
      </c>
      <c r="AP56" s="1">
        <v>14</v>
      </c>
      <c r="AQ56" s="1">
        <v>46.194229999999997</v>
      </c>
      <c r="AR56" s="1">
        <v>4</v>
      </c>
      <c r="AS56" s="1">
        <v>7.4803199999999999</v>
      </c>
      <c r="AT56" s="1">
        <v>7.4803199999999999</v>
      </c>
      <c r="AU56" s="1">
        <v>1</v>
      </c>
      <c r="AV56" s="1">
        <v>0</v>
      </c>
      <c r="AW56" s="1">
        <v>0</v>
      </c>
      <c r="AX56" s="1">
        <v>0</v>
      </c>
      <c r="AY56" s="1">
        <v>2606.4795800000002</v>
      </c>
      <c r="AZ56" s="1">
        <v>80</v>
      </c>
      <c r="BA56" s="1">
        <v>80</v>
      </c>
      <c r="BB56" s="1">
        <v>19</v>
      </c>
      <c r="BC56" s="1">
        <v>19</v>
      </c>
      <c r="BD56" s="1">
        <v>9</v>
      </c>
      <c r="BE56" s="1">
        <v>10</v>
      </c>
      <c r="BF56" s="1">
        <v>184.077</v>
      </c>
      <c r="BG56" s="1">
        <v>53.674550000000004</v>
      </c>
      <c r="BH56" s="1">
        <v>7.4803199999999999</v>
      </c>
      <c r="BI56" s="1">
        <v>0</v>
      </c>
      <c r="BJ56" s="1">
        <v>19</v>
      </c>
      <c r="BK56" s="1">
        <v>0</v>
      </c>
      <c r="BL56" s="1">
        <v>155.58417</v>
      </c>
      <c r="BM56" s="1">
        <v>0</v>
      </c>
      <c r="BN56" s="3">
        <v>0.1030787037037037</v>
      </c>
      <c r="BO56" s="1" t="s">
        <v>130</v>
      </c>
      <c r="BP56" s="1" t="s">
        <v>130</v>
      </c>
      <c r="BQ56" s="1" t="s">
        <v>130</v>
      </c>
      <c r="BR56" s="1">
        <v>14.60027</v>
      </c>
      <c r="BS56" s="1">
        <v>174</v>
      </c>
      <c r="BT56" s="1">
        <v>11.41056</v>
      </c>
      <c r="BU56" s="1">
        <v>47</v>
      </c>
      <c r="BV56" s="1">
        <v>12.642770000000001</v>
      </c>
      <c r="BW56" s="1">
        <v>35.50412</v>
      </c>
      <c r="BX56" s="1">
        <v>1.0859399999999999</v>
      </c>
      <c r="BY56" s="1">
        <v>27</v>
      </c>
      <c r="BZ56" s="1">
        <v>12.83431</v>
      </c>
      <c r="CA56" s="1">
        <v>28.059889999999999</v>
      </c>
      <c r="CB56" s="1">
        <v>0</v>
      </c>
      <c r="CC56" s="1">
        <v>13</v>
      </c>
      <c r="CD56" s="1">
        <v>13.03445</v>
      </c>
      <c r="CE56" s="1">
        <v>16.324369999999998</v>
      </c>
      <c r="CF56" s="1">
        <v>0</v>
      </c>
      <c r="CG56" s="1">
        <v>3</v>
      </c>
      <c r="CH56" s="1">
        <v>6.6666800000000004</v>
      </c>
      <c r="CI56" s="1">
        <v>6.6666800000000004</v>
      </c>
      <c r="CJ56" s="1">
        <v>6.6666800000000004</v>
      </c>
      <c r="CK56" s="1">
        <v>1</v>
      </c>
      <c r="CL56" s="1" t="s">
        <v>130</v>
      </c>
      <c r="CM56" s="1" t="s">
        <v>130</v>
      </c>
      <c r="CN56" s="1" t="s">
        <v>130</v>
      </c>
      <c r="CO56" s="1">
        <v>0</v>
      </c>
      <c r="CP56" s="1">
        <v>14.60027</v>
      </c>
      <c r="CQ56" s="1">
        <v>174</v>
      </c>
      <c r="CR56" s="1">
        <v>11.41056</v>
      </c>
      <c r="CS56" s="1">
        <v>47</v>
      </c>
      <c r="CT56" s="1">
        <v>12.642770000000001</v>
      </c>
      <c r="CU56" s="1">
        <v>35.50412</v>
      </c>
      <c r="CV56" s="1">
        <v>1.0859399999999999</v>
      </c>
      <c r="CW56" s="1">
        <v>27</v>
      </c>
      <c r="CX56" s="1">
        <v>12.83431</v>
      </c>
      <c r="CY56" s="1">
        <v>28.059889999999999</v>
      </c>
      <c r="CZ56" s="1">
        <v>0</v>
      </c>
      <c r="DA56" s="1">
        <v>13</v>
      </c>
      <c r="DB56" s="1">
        <v>13.03445</v>
      </c>
      <c r="DC56" s="1">
        <v>16.324369999999998</v>
      </c>
      <c r="DD56" s="1">
        <v>0</v>
      </c>
      <c r="DE56" s="1">
        <v>3</v>
      </c>
      <c r="DF56" s="1">
        <v>6.6666800000000004</v>
      </c>
      <c r="DG56" s="1">
        <v>6.6666800000000004</v>
      </c>
      <c r="DH56" s="1">
        <v>6.6666800000000004</v>
      </c>
      <c r="DI56" s="1">
        <v>1</v>
      </c>
      <c r="DJ56" s="1" t="s">
        <v>130</v>
      </c>
      <c r="DK56" s="1" t="s">
        <v>130</v>
      </c>
      <c r="DL56" s="1" t="s">
        <v>130</v>
      </c>
      <c r="DM56" s="1">
        <v>0</v>
      </c>
      <c r="DN56" s="1">
        <v>7.4803199999999999</v>
      </c>
      <c r="DO56" s="1">
        <v>40.007019999999997</v>
      </c>
      <c r="DP56" s="1">
        <v>3.8425199999999999</v>
      </c>
      <c r="DQ56" s="1">
        <v>72.03631</v>
      </c>
      <c r="DR56" s="1">
        <v>19</v>
      </c>
      <c r="DS56" s="1">
        <v>2.2688100000000002</v>
      </c>
      <c r="DT56" s="1">
        <v>3.7911000000000001</v>
      </c>
      <c r="DU56" s="1">
        <v>2598.57834</v>
      </c>
      <c r="DV56" s="1">
        <v>136.23667</v>
      </c>
      <c r="DW56" s="1">
        <v>80</v>
      </c>
      <c r="DX56" s="1">
        <v>0</v>
      </c>
      <c r="DY56" s="3">
        <v>0.1030787037037037</v>
      </c>
      <c r="DZ56" t="str">
        <f>IF(GPS_Table[[#This Row],[Max Vel (% Max)]] &gt;= 90, "YES", "NO")</f>
        <v>NO</v>
      </c>
    </row>
    <row r="57" spans="1:130" ht="14.25" customHeight="1" x14ac:dyDescent="0.2">
      <c r="A57" s="1" t="s">
        <v>198</v>
      </c>
      <c r="B57" s="1" t="s">
        <v>128</v>
      </c>
      <c r="C57" s="1" t="s">
        <v>129</v>
      </c>
      <c r="D57" s="1">
        <v>20</v>
      </c>
      <c r="E57" s="1">
        <v>17.844660000000001</v>
      </c>
      <c r="F57" s="1">
        <v>89.223280000000003</v>
      </c>
      <c r="G57" s="1">
        <v>0.32256000000000001</v>
      </c>
      <c r="H57" s="1">
        <v>450.71614</v>
      </c>
      <c r="I57" s="1">
        <v>7662.1743500000002</v>
      </c>
      <c r="J57" s="3">
        <v>6.053240740740741E-3</v>
      </c>
      <c r="K57" s="3">
        <v>0.1030787037037037</v>
      </c>
      <c r="L57" s="1">
        <v>602.11454000000003</v>
      </c>
      <c r="M57" s="1">
        <v>35.418500000000002</v>
      </c>
      <c r="N57" s="1">
        <v>6.4260099999999998</v>
      </c>
      <c r="O57" s="1">
        <v>4.0560400000000003</v>
      </c>
      <c r="P57" s="1">
        <v>602.11454000000003</v>
      </c>
      <c r="Q57" s="1">
        <v>2872.9947499999998</v>
      </c>
      <c r="R57" s="3">
        <v>1.3194444444444445E-3</v>
      </c>
      <c r="S57" s="1">
        <v>496.55511999999999</v>
      </c>
      <c r="T57" s="1">
        <v>88</v>
      </c>
      <c r="U57" s="1">
        <v>18</v>
      </c>
      <c r="V57" s="3">
        <v>1.0416666666666667E-4</v>
      </c>
      <c r="W57" s="1">
        <v>51.902889999999999</v>
      </c>
      <c r="X57" s="1">
        <v>1</v>
      </c>
      <c r="Y57" s="1">
        <v>0</v>
      </c>
      <c r="Z57" s="3">
        <v>0</v>
      </c>
      <c r="AA57" s="1">
        <v>69</v>
      </c>
      <c r="AB57" s="1">
        <v>89.895009999999999</v>
      </c>
      <c r="AC57" s="3">
        <v>9.0277777777777774E-4</v>
      </c>
      <c r="AD57" s="1">
        <v>69</v>
      </c>
      <c r="AE57" s="1">
        <v>7</v>
      </c>
      <c r="AF57" s="1">
        <v>6.5507400000000002</v>
      </c>
      <c r="AG57" s="3">
        <v>9.2592592592592588E-5</v>
      </c>
      <c r="AH57" s="1">
        <v>7</v>
      </c>
      <c r="AI57" s="1">
        <v>0</v>
      </c>
      <c r="AJ57" s="1">
        <v>0</v>
      </c>
      <c r="AK57" s="3">
        <v>0</v>
      </c>
      <c r="AL57" s="1">
        <v>0</v>
      </c>
      <c r="AM57" s="1">
        <v>5.0491599999999996</v>
      </c>
      <c r="AN57" s="1">
        <v>-4.9258199999999999</v>
      </c>
      <c r="AO57" s="1">
        <v>178.28084000000001</v>
      </c>
      <c r="AP57" s="1">
        <v>23</v>
      </c>
      <c r="AQ57" s="1">
        <v>40.682409999999997</v>
      </c>
      <c r="AR57" s="1">
        <v>7</v>
      </c>
      <c r="AS57" s="1">
        <v>50.634300000000003</v>
      </c>
      <c r="AT57" s="1">
        <v>50.634300000000003</v>
      </c>
      <c r="AU57" s="1">
        <v>4</v>
      </c>
      <c r="AV57" s="1">
        <v>0</v>
      </c>
      <c r="AW57" s="1">
        <v>0</v>
      </c>
      <c r="AX57" s="1">
        <v>0</v>
      </c>
      <c r="AY57" s="1">
        <v>4905.1205099999997</v>
      </c>
      <c r="AZ57" s="1">
        <v>183</v>
      </c>
      <c r="BA57" s="1">
        <v>183</v>
      </c>
      <c r="BB57" s="1">
        <v>26</v>
      </c>
      <c r="BC57" s="1">
        <v>26</v>
      </c>
      <c r="BD57" s="1">
        <v>19</v>
      </c>
      <c r="BE57" s="1">
        <v>7</v>
      </c>
      <c r="BF57" s="1">
        <v>269.59755000000001</v>
      </c>
      <c r="BG57" s="1">
        <v>91.31671</v>
      </c>
      <c r="BH57" s="1">
        <v>50.634300000000003</v>
      </c>
      <c r="BI57" s="1">
        <v>0</v>
      </c>
      <c r="BJ57" s="1">
        <v>34</v>
      </c>
      <c r="BK57" s="1">
        <v>0</v>
      </c>
      <c r="BL57" s="1">
        <v>263.14325000000002</v>
      </c>
      <c r="BM57" s="1">
        <v>0</v>
      </c>
      <c r="BN57" s="3">
        <v>0.1030787037037037</v>
      </c>
      <c r="BO57" s="1" t="s">
        <v>130</v>
      </c>
      <c r="BP57" s="1" t="s">
        <v>130</v>
      </c>
      <c r="BQ57" s="1" t="s">
        <v>130</v>
      </c>
      <c r="BR57" s="1">
        <v>11.845879999999999</v>
      </c>
      <c r="BS57" s="1">
        <v>383</v>
      </c>
      <c r="BT57" s="1">
        <v>11.36046</v>
      </c>
      <c r="BU57" s="1">
        <v>99</v>
      </c>
      <c r="BV57" s="1">
        <v>10.160159999999999</v>
      </c>
      <c r="BW57" s="1">
        <v>36.312449999999998</v>
      </c>
      <c r="BX57" s="1">
        <v>1.6919500000000001</v>
      </c>
      <c r="BY57" s="1">
        <v>56</v>
      </c>
      <c r="BZ57" s="1">
        <v>10.71109</v>
      </c>
      <c r="CA57" s="1">
        <v>29.705909999999999</v>
      </c>
      <c r="CB57" s="1">
        <v>0</v>
      </c>
      <c r="CC57" s="1">
        <v>24</v>
      </c>
      <c r="CD57" s="1">
        <v>12.338559999999999</v>
      </c>
      <c r="CE57" s="1">
        <v>22.706630000000001</v>
      </c>
      <c r="CF57" s="1">
        <v>3.4175399999999998</v>
      </c>
      <c r="CG57" s="1">
        <v>7</v>
      </c>
      <c r="CH57" s="1">
        <v>10.911799999999999</v>
      </c>
      <c r="CI57" s="1">
        <v>14.183059999999999</v>
      </c>
      <c r="CJ57" s="1">
        <v>6.3834600000000004</v>
      </c>
      <c r="CK57" s="1">
        <v>4</v>
      </c>
      <c r="CL57" s="1" t="s">
        <v>130</v>
      </c>
      <c r="CM57" s="1" t="s">
        <v>130</v>
      </c>
      <c r="CN57" s="1" t="s">
        <v>130</v>
      </c>
      <c r="CO57" s="1">
        <v>0</v>
      </c>
      <c r="CP57" s="1">
        <v>11.845879999999999</v>
      </c>
      <c r="CQ57" s="1">
        <v>383</v>
      </c>
      <c r="CR57" s="1">
        <v>11.36046</v>
      </c>
      <c r="CS57" s="1">
        <v>99</v>
      </c>
      <c r="CT57" s="1">
        <v>10.160159999999999</v>
      </c>
      <c r="CU57" s="1">
        <v>36.312449999999998</v>
      </c>
      <c r="CV57" s="1">
        <v>1.6919500000000001</v>
      </c>
      <c r="CW57" s="1">
        <v>56</v>
      </c>
      <c r="CX57" s="1">
        <v>10.71109</v>
      </c>
      <c r="CY57" s="1">
        <v>29.705909999999999</v>
      </c>
      <c r="CZ57" s="1">
        <v>0</v>
      </c>
      <c r="DA57" s="1">
        <v>24</v>
      </c>
      <c r="DB57" s="1">
        <v>12.338559999999999</v>
      </c>
      <c r="DC57" s="1">
        <v>22.706630000000001</v>
      </c>
      <c r="DD57" s="1">
        <v>3.4175399999999998</v>
      </c>
      <c r="DE57" s="1">
        <v>7</v>
      </c>
      <c r="DF57" s="1">
        <v>10.911799999999999</v>
      </c>
      <c r="DG57" s="1">
        <v>14.183059999999999</v>
      </c>
      <c r="DH57" s="1">
        <v>6.3834600000000004</v>
      </c>
      <c r="DI57" s="1">
        <v>4</v>
      </c>
      <c r="DJ57" s="1" t="s">
        <v>130</v>
      </c>
      <c r="DK57" s="1" t="s">
        <v>130</v>
      </c>
      <c r="DL57" s="1" t="s">
        <v>130</v>
      </c>
      <c r="DM57" s="1">
        <v>0</v>
      </c>
      <c r="DN57" s="1">
        <v>50.634300000000003</v>
      </c>
      <c r="DO57" s="1">
        <v>50.183729999999997</v>
      </c>
      <c r="DP57" s="1">
        <v>3.7495799999999999</v>
      </c>
      <c r="DQ57" s="1">
        <v>58.453629999999997</v>
      </c>
      <c r="DR57" s="1">
        <v>26</v>
      </c>
      <c r="DS57" s="1">
        <v>3.4046699999999999</v>
      </c>
      <c r="DT57" s="1">
        <v>3.5185499999999998</v>
      </c>
      <c r="DU57" s="1">
        <v>4890.9667499999996</v>
      </c>
      <c r="DV57" s="1">
        <v>130.05167</v>
      </c>
      <c r="DW57" s="1">
        <v>183</v>
      </c>
      <c r="DX57" s="1">
        <v>1</v>
      </c>
      <c r="DY57" s="3">
        <v>0.1030787037037037</v>
      </c>
      <c r="DZ57" t="str">
        <f>IF(GPS_Table[[#This Row],[Max Vel (% Max)]] &gt;= 90, "YES", "NO")</f>
        <v>NO</v>
      </c>
    </row>
    <row r="58" spans="1:130" ht="14.25" customHeight="1" x14ac:dyDescent="0.2">
      <c r="A58" s="1" t="s">
        <v>199</v>
      </c>
      <c r="B58" s="1" t="s">
        <v>128</v>
      </c>
      <c r="C58" s="1" t="s">
        <v>129</v>
      </c>
      <c r="D58" s="1">
        <v>21.7</v>
      </c>
      <c r="E58" s="1">
        <v>19.787749999999999</v>
      </c>
      <c r="F58" s="1">
        <v>91.187790000000007</v>
      </c>
      <c r="G58" s="1">
        <v>0.23733000000000001</v>
      </c>
      <c r="H58" s="1">
        <v>341.40715999999998</v>
      </c>
      <c r="I58" s="1">
        <v>5803.9218000000001</v>
      </c>
      <c r="J58" s="3">
        <v>6.053240740740741E-3</v>
      </c>
      <c r="K58" s="3">
        <v>0.1030787037037037</v>
      </c>
      <c r="L58" s="1">
        <v>453.01594999999998</v>
      </c>
      <c r="M58" s="1">
        <v>26.648</v>
      </c>
      <c r="N58" s="1">
        <v>6.1300400000000002</v>
      </c>
      <c r="O58" s="1">
        <v>3.05166</v>
      </c>
      <c r="P58" s="1">
        <v>453.01594999999998</v>
      </c>
      <c r="Q58" s="1">
        <v>2113.8924999999999</v>
      </c>
      <c r="R58" s="3">
        <v>7.6388888888888893E-4</v>
      </c>
      <c r="S58" s="1">
        <v>298.57830000000001</v>
      </c>
      <c r="T58" s="1">
        <v>47</v>
      </c>
      <c r="U58" s="1">
        <v>16</v>
      </c>
      <c r="V58" s="3">
        <v>2.3148148148148149E-4</v>
      </c>
      <c r="W58" s="1">
        <v>68.974189999999993</v>
      </c>
      <c r="X58" s="1">
        <v>0</v>
      </c>
      <c r="Y58" s="1">
        <v>2.3950100000000001</v>
      </c>
      <c r="Z58" s="3">
        <v>0</v>
      </c>
      <c r="AA58" s="1">
        <v>32</v>
      </c>
      <c r="AB58" s="1">
        <v>56.02581</v>
      </c>
      <c r="AC58" s="3">
        <v>4.3981481481481481E-4</v>
      </c>
      <c r="AD58" s="1">
        <v>32</v>
      </c>
      <c r="AE58" s="1">
        <v>5</v>
      </c>
      <c r="AF58" s="1">
        <v>5.33683</v>
      </c>
      <c r="AG58" s="3">
        <v>3.4722222222222222E-5</v>
      </c>
      <c r="AH58" s="1">
        <v>5</v>
      </c>
      <c r="AI58" s="1">
        <v>0</v>
      </c>
      <c r="AJ58" s="1">
        <v>0.73272000000000004</v>
      </c>
      <c r="AK58" s="3">
        <v>0</v>
      </c>
      <c r="AL58" s="1">
        <v>0</v>
      </c>
      <c r="AM58" s="1">
        <v>4.9264999999999999</v>
      </c>
      <c r="AN58" s="1">
        <v>-4.5120399999999998</v>
      </c>
      <c r="AO58" s="1">
        <v>175.61242999999999</v>
      </c>
      <c r="AP58" s="1">
        <v>18</v>
      </c>
      <c r="AQ58" s="1">
        <v>34.2301</v>
      </c>
      <c r="AR58" s="1">
        <v>5</v>
      </c>
      <c r="AS58" s="1">
        <v>75.28434</v>
      </c>
      <c r="AT58" s="1">
        <v>54.921259999999997</v>
      </c>
      <c r="AU58" s="1">
        <v>3</v>
      </c>
      <c r="AV58" s="1">
        <v>2</v>
      </c>
      <c r="AW58" s="1">
        <v>20.36308</v>
      </c>
      <c r="AX58" s="1">
        <v>2</v>
      </c>
      <c r="AY58" s="1">
        <v>3012.0801799999999</v>
      </c>
      <c r="AZ58" s="1">
        <v>100</v>
      </c>
      <c r="BA58" s="1">
        <v>100</v>
      </c>
      <c r="BB58" s="1">
        <v>21</v>
      </c>
      <c r="BC58" s="1">
        <v>21</v>
      </c>
      <c r="BD58" s="1">
        <v>16</v>
      </c>
      <c r="BE58" s="1">
        <v>5</v>
      </c>
      <c r="BF58" s="1">
        <v>285.12687</v>
      </c>
      <c r="BG58" s="1">
        <v>109.51443999999999</v>
      </c>
      <c r="BH58" s="1">
        <v>75.28434</v>
      </c>
      <c r="BI58" s="1">
        <v>20.36308</v>
      </c>
      <c r="BJ58" s="1">
        <v>28</v>
      </c>
      <c r="BK58" s="1">
        <v>0</v>
      </c>
      <c r="BL58" s="1">
        <v>189.86249000000001</v>
      </c>
      <c r="BM58" s="1">
        <v>2</v>
      </c>
      <c r="BN58" s="3">
        <v>0.1030787037037037</v>
      </c>
      <c r="BO58" s="1" t="s">
        <v>130</v>
      </c>
      <c r="BP58" s="1" t="s">
        <v>130</v>
      </c>
      <c r="BQ58" s="1" t="s">
        <v>130</v>
      </c>
      <c r="BR58" s="1">
        <v>13.1334</v>
      </c>
      <c r="BS58" s="1">
        <v>218</v>
      </c>
      <c r="BT58" s="1">
        <v>15.680249999999999</v>
      </c>
      <c r="BU58" s="1">
        <v>53</v>
      </c>
      <c r="BV58" s="1">
        <v>15.822010000000001</v>
      </c>
      <c r="BW58" s="1">
        <v>48.477690000000003</v>
      </c>
      <c r="BX58" s="1">
        <v>1.6350800000000001</v>
      </c>
      <c r="BY58" s="1">
        <v>30</v>
      </c>
      <c r="BZ58" s="1">
        <v>15.468500000000001</v>
      </c>
      <c r="CA58" s="1">
        <v>45.500889999999998</v>
      </c>
      <c r="CB58" s="1">
        <v>0</v>
      </c>
      <c r="CC58" s="1">
        <v>18</v>
      </c>
      <c r="CD58" s="1">
        <v>17.885169999999999</v>
      </c>
      <c r="CE58" s="1">
        <v>37.313009999999998</v>
      </c>
      <c r="CF58" s="1">
        <v>2.9899499999999999</v>
      </c>
      <c r="CG58" s="1">
        <v>6</v>
      </c>
      <c r="CH58" s="1">
        <v>23.762419999999999</v>
      </c>
      <c r="CI58" s="1">
        <v>32.896970000000003</v>
      </c>
      <c r="CJ58" s="1">
        <v>18.52581</v>
      </c>
      <c r="CK58" s="1">
        <v>3</v>
      </c>
      <c r="CL58" s="1">
        <v>9.3109599999999997</v>
      </c>
      <c r="CM58" s="1">
        <v>10.34774</v>
      </c>
      <c r="CN58" s="1">
        <v>8.2741900000000008</v>
      </c>
      <c r="CO58" s="1">
        <v>2</v>
      </c>
      <c r="CP58" s="1">
        <v>13.040649999999999</v>
      </c>
      <c r="CQ58" s="1">
        <v>217</v>
      </c>
      <c r="CR58" s="1">
        <v>15.74451</v>
      </c>
      <c r="CS58" s="1">
        <v>52</v>
      </c>
      <c r="CT58" s="1">
        <v>15.91638</v>
      </c>
      <c r="CU58" s="1">
        <v>48.477690000000003</v>
      </c>
      <c r="CV58" s="1">
        <v>2.0581299999999998</v>
      </c>
      <c r="CW58" s="1">
        <v>29</v>
      </c>
      <c r="CX58" s="1">
        <v>14.96421</v>
      </c>
      <c r="CY58" s="1">
        <v>45.500889999999998</v>
      </c>
      <c r="CZ58" s="1">
        <v>0</v>
      </c>
      <c r="DA58" s="1">
        <v>18</v>
      </c>
      <c r="DB58" s="1">
        <v>20.076750000000001</v>
      </c>
      <c r="DC58" s="1">
        <v>37.313009999999998</v>
      </c>
      <c r="DD58" s="1">
        <v>3.0358700000000001</v>
      </c>
      <c r="DE58" s="1">
        <v>5</v>
      </c>
      <c r="DF58" s="1">
        <v>22.918150000000001</v>
      </c>
      <c r="DG58" s="1">
        <v>32.896970000000003</v>
      </c>
      <c r="DH58" s="1">
        <v>16.93459</v>
      </c>
      <c r="DI58" s="1">
        <v>3</v>
      </c>
      <c r="DJ58" s="1">
        <v>7.0067300000000001</v>
      </c>
      <c r="DK58" s="1">
        <v>8.4897200000000002</v>
      </c>
      <c r="DL58" s="1">
        <v>5.5237400000000001</v>
      </c>
      <c r="DM58" s="1">
        <v>2</v>
      </c>
      <c r="DN58" s="1">
        <v>75.28434</v>
      </c>
      <c r="DO58" s="1">
        <v>56.589860000000002</v>
      </c>
      <c r="DP58" s="1">
        <v>3.6421800000000002</v>
      </c>
      <c r="DQ58" s="1">
        <v>77.438749999999999</v>
      </c>
      <c r="DR58" s="1">
        <v>21</v>
      </c>
      <c r="DS58" s="1">
        <v>2.5385399999999998</v>
      </c>
      <c r="DT58" s="1">
        <v>4.9126599999999998</v>
      </c>
      <c r="DU58" s="1">
        <v>3004.3198000000002</v>
      </c>
      <c r="DV58" s="1">
        <v>135.875</v>
      </c>
      <c r="DW58" s="1">
        <v>100</v>
      </c>
      <c r="DX58" s="1">
        <v>0</v>
      </c>
      <c r="DY58" s="3">
        <v>0.1030787037037037</v>
      </c>
      <c r="DZ58" t="str">
        <f>IF(GPS_Table[[#This Row],[Max Vel (% Max)]] &gt;= 90, "YES", "NO")</f>
        <v>YES</v>
      </c>
    </row>
    <row r="59" spans="1:130" ht="14.25" customHeight="1" x14ac:dyDescent="0.2">
      <c r="A59" s="1" t="s">
        <v>200</v>
      </c>
      <c r="B59" s="1" t="s">
        <v>128</v>
      </c>
      <c r="C59" s="1" t="s">
        <v>129</v>
      </c>
      <c r="D59" s="1">
        <v>20</v>
      </c>
      <c r="E59" s="1">
        <v>17.246729999999999</v>
      </c>
      <c r="F59" s="1">
        <v>86.23366</v>
      </c>
      <c r="G59" s="1">
        <v>0.18625</v>
      </c>
      <c r="H59" s="1">
        <v>294.96341000000001</v>
      </c>
      <c r="I59" s="1">
        <v>5014.3779100000002</v>
      </c>
      <c r="J59" s="3">
        <v>6.053240740740741E-3</v>
      </c>
      <c r="K59" s="3">
        <v>0.1030787037037037</v>
      </c>
      <c r="L59" s="1">
        <v>382.19691999999998</v>
      </c>
      <c r="M59" s="1">
        <v>22.48217</v>
      </c>
      <c r="N59" s="1">
        <v>5.8965899999999998</v>
      </c>
      <c r="O59" s="1">
        <v>2.5746000000000002</v>
      </c>
      <c r="P59" s="1">
        <v>382.19691999999998</v>
      </c>
      <c r="Q59" s="1">
        <v>1658.91994</v>
      </c>
      <c r="R59" s="3">
        <v>4.7453703703703704E-4</v>
      </c>
      <c r="S59" s="1">
        <v>192.19159999999999</v>
      </c>
      <c r="T59" s="1">
        <v>29</v>
      </c>
      <c r="U59" s="1">
        <v>9</v>
      </c>
      <c r="V59" s="3">
        <v>8.1018518518518516E-5</v>
      </c>
      <c r="W59" s="1">
        <v>14.67629</v>
      </c>
      <c r="X59" s="1">
        <v>0</v>
      </c>
      <c r="Y59" s="1">
        <v>1.0717399999999999</v>
      </c>
      <c r="Z59" s="3">
        <v>0</v>
      </c>
      <c r="AA59" s="1">
        <v>14</v>
      </c>
      <c r="AB59" s="1">
        <v>30.982060000000001</v>
      </c>
      <c r="AC59" s="3">
        <v>1.5046296296296297E-4</v>
      </c>
      <c r="AD59" s="1">
        <v>14</v>
      </c>
      <c r="AE59" s="1">
        <v>4</v>
      </c>
      <c r="AF59" s="1">
        <v>5.0524899999999997</v>
      </c>
      <c r="AG59" s="3">
        <v>2.3148148148148147E-5</v>
      </c>
      <c r="AH59" s="1">
        <v>4</v>
      </c>
      <c r="AI59" s="1">
        <v>0</v>
      </c>
      <c r="AJ59" s="1">
        <v>0.20779</v>
      </c>
      <c r="AK59" s="3">
        <v>0</v>
      </c>
      <c r="AL59" s="1">
        <v>0</v>
      </c>
      <c r="AM59" s="1">
        <v>4.0420400000000001</v>
      </c>
      <c r="AN59" s="1">
        <v>-4.9276400000000002</v>
      </c>
      <c r="AO59" s="1">
        <v>334.89720999999997</v>
      </c>
      <c r="AP59" s="1">
        <v>19</v>
      </c>
      <c r="AQ59" s="1">
        <v>24.398510000000002</v>
      </c>
      <c r="AR59" s="1">
        <v>3</v>
      </c>
      <c r="AS59" s="1">
        <v>14.85127</v>
      </c>
      <c r="AT59" s="1">
        <v>14.85127</v>
      </c>
      <c r="AU59" s="1">
        <v>2</v>
      </c>
      <c r="AV59" s="1">
        <v>0</v>
      </c>
      <c r="AW59" s="1">
        <v>0</v>
      </c>
      <c r="AX59" s="1">
        <v>0</v>
      </c>
      <c r="AY59" s="1">
        <v>3180.6836800000001</v>
      </c>
      <c r="AZ59" s="1">
        <v>56</v>
      </c>
      <c r="BA59" s="1">
        <v>56</v>
      </c>
      <c r="BB59" s="1">
        <v>13</v>
      </c>
      <c r="BC59" s="1">
        <v>13</v>
      </c>
      <c r="BD59" s="1">
        <v>9</v>
      </c>
      <c r="BE59" s="1">
        <v>4</v>
      </c>
      <c r="BF59" s="1">
        <v>374.14699000000002</v>
      </c>
      <c r="BG59" s="1">
        <v>39.249780000000001</v>
      </c>
      <c r="BH59" s="1">
        <v>14.85127</v>
      </c>
      <c r="BI59" s="1">
        <v>0</v>
      </c>
      <c r="BJ59" s="1">
        <v>24</v>
      </c>
      <c r="BK59" s="1">
        <v>0</v>
      </c>
      <c r="BL59" s="1">
        <v>162.57074</v>
      </c>
      <c r="BM59" s="1">
        <v>0</v>
      </c>
      <c r="BN59" s="3">
        <v>0.1030787037037037</v>
      </c>
      <c r="BO59" s="1" t="s">
        <v>130</v>
      </c>
      <c r="BP59" s="1" t="s">
        <v>130</v>
      </c>
      <c r="BQ59" s="1" t="s">
        <v>130</v>
      </c>
      <c r="BR59" s="1">
        <v>19.426690000000001</v>
      </c>
      <c r="BS59" s="1">
        <v>153</v>
      </c>
      <c r="BT59" s="1">
        <v>22.609760000000001</v>
      </c>
      <c r="BU59" s="1">
        <v>46</v>
      </c>
      <c r="BV59" s="1">
        <v>21.8538</v>
      </c>
      <c r="BW59" s="1">
        <v>56.492759999999997</v>
      </c>
      <c r="BX59" s="1">
        <v>1.8285199999999999</v>
      </c>
      <c r="BY59" s="1">
        <v>34</v>
      </c>
      <c r="BZ59" s="1">
        <v>20.63007</v>
      </c>
      <c r="CA59" s="1">
        <v>44.739620000000002</v>
      </c>
      <c r="CB59" s="1">
        <v>0</v>
      </c>
      <c r="CC59" s="1">
        <v>18</v>
      </c>
      <c r="CD59" s="1">
        <v>12.24408</v>
      </c>
      <c r="CE59" s="1">
        <v>16.263159999999999</v>
      </c>
      <c r="CF59" s="1">
        <v>7.3084699999999998</v>
      </c>
      <c r="CG59" s="1">
        <v>3</v>
      </c>
      <c r="CH59" s="1">
        <v>5.4466999999999999</v>
      </c>
      <c r="CI59" s="1">
        <v>6.1547799999999997</v>
      </c>
      <c r="CJ59" s="1">
        <v>4.7386299999999997</v>
      </c>
      <c r="CK59" s="1">
        <v>2</v>
      </c>
      <c r="CL59" s="1" t="s">
        <v>130</v>
      </c>
      <c r="CM59" s="1" t="s">
        <v>130</v>
      </c>
      <c r="CN59" s="1" t="s">
        <v>130</v>
      </c>
      <c r="CO59" s="1">
        <v>0</v>
      </c>
      <c r="CP59" s="1">
        <v>19.426690000000001</v>
      </c>
      <c r="CQ59" s="1">
        <v>153</v>
      </c>
      <c r="CR59" s="1">
        <v>22.609760000000001</v>
      </c>
      <c r="CS59" s="1">
        <v>46</v>
      </c>
      <c r="CT59" s="1">
        <v>21.8538</v>
      </c>
      <c r="CU59" s="1">
        <v>56.492759999999997</v>
      </c>
      <c r="CV59" s="1">
        <v>1.8285199999999999</v>
      </c>
      <c r="CW59" s="1">
        <v>34</v>
      </c>
      <c r="CX59" s="1">
        <v>20.775700000000001</v>
      </c>
      <c r="CY59" s="1">
        <v>45.313659999999999</v>
      </c>
      <c r="CZ59" s="1">
        <v>0</v>
      </c>
      <c r="DA59" s="1">
        <v>18</v>
      </c>
      <c r="DB59" s="1">
        <v>12.022069999999999</v>
      </c>
      <c r="DC59" s="1">
        <v>16.263159999999999</v>
      </c>
      <c r="DD59" s="1">
        <v>7.3084699999999998</v>
      </c>
      <c r="DE59" s="1">
        <v>3</v>
      </c>
      <c r="DF59" s="1">
        <v>5.4466999999999999</v>
      </c>
      <c r="DG59" s="1">
        <v>6.1547799999999997</v>
      </c>
      <c r="DH59" s="1">
        <v>4.7386299999999997</v>
      </c>
      <c r="DI59" s="1">
        <v>2</v>
      </c>
      <c r="DJ59" s="1" t="s">
        <v>130</v>
      </c>
      <c r="DK59" s="1" t="s">
        <v>130</v>
      </c>
      <c r="DL59" s="1" t="s">
        <v>130</v>
      </c>
      <c r="DM59" s="1">
        <v>0</v>
      </c>
      <c r="DN59" s="1">
        <v>14.85127</v>
      </c>
      <c r="DO59" s="1">
        <v>35.786459999999998</v>
      </c>
      <c r="DP59" s="1">
        <v>3.3083300000000002</v>
      </c>
      <c r="DQ59" s="1">
        <v>21.008310000000002</v>
      </c>
      <c r="DR59" s="1">
        <v>13</v>
      </c>
      <c r="DS59" s="1">
        <v>1.96234</v>
      </c>
      <c r="DT59" s="1">
        <v>7.4614799999999999</v>
      </c>
      <c r="DU59" s="1">
        <v>3176.3779500000001</v>
      </c>
      <c r="DV59" s="1">
        <v>138.01832999999999</v>
      </c>
      <c r="DW59" s="1">
        <v>56</v>
      </c>
      <c r="DX59" s="1">
        <v>0</v>
      </c>
      <c r="DY59" s="3">
        <v>0.1030787037037037</v>
      </c>
      <c r="DZ59" t="str">
        <f>IF(GPS_Table[[#This Row],[Max Vel (% Max)]] &gt;= 90, "YES", "NO")</f>
        <v>NO</v>
      </c>
    </row>
    <row r="60" spans="1:130" ht="14.25" customHeight="1" x14ac:dyDescent="0.2">
      <c r="A60" s="1" t="s">
        <v>201</v>
      </c>
      <c r="B60" s="1" t="s">
        <v>128</v>
      </c>
      <c r="C60" s="1" t="s">
        <v>129</v>
      </c>
      <c r="D60" s="1">
        <v>20</v>
      </c>
      <c r="E60" s="1">
        <v>15.68211</v>
      </c>
      <c r="F60" s="1">
        <v>78.410560000000004</v>
      </c>
      <c r="G60" s="1">
        <v>0.26258999999999999</v>
      </c>
      <c r="H60" s="1">
        <v>373.52782999999999</v>
      </c>
      <c r="I60" s="1">
        <v>6349.9731000000002</v>
      </c>
      <c r="J60" s="3">
        <v>6.053240740740741E-3</v>
      </c>
      <c r="K60" s="3">
        <v>0.1030787037037037</v>
      </c>
      <c r="L60" s="1">
        <v>473.05315999999999</v>
      </c>
      <c r="M60" s="1">
        <v>27.82666</v>
      </c>
      <c r="N60" s="1">
        <v>5.1298000000000004</v>
      </c>
      <c r="O60" s="1">
        <v>3.1866400000000001</v>
      </c>
      <c r="P60" s="1">
        <v>473.05315999999999</v>
      </c>
      <c r="Q60" s="1">
        <v>2338.8898399999998</v>
      </c>
      <c r="R60" s="3">
        <v>9.4907407407407408E-4</v>
      </c>
      <c r="S60" s="1">
        <v>365.73709000000002</v>
      </c>
      <c r="T60" s="1">
        <v>62</v>
      </c>
      <c r="U60" s="1">
        <v>22</v>
      </c>
      <c r="V60" s="3">
        <v>1.9675925925925926E-4</v>
      </c>
      <c r="W60" s="1">
        <v>97.276899999999998</v>
      </c>
      <c r="X60" s="1">
        <v>1</v>
      </c>
      <c r="Y60" s="1">
        <v>2.02318</v>
      </c>
      <c r="Z60" s="3">
        <v>0</v>
      </c>
      <c r="AA60" s="1">
        <v>49</v>
      </c>
      <c r="AB60" s="1">
        <v>79.079179999999994</v>
      </c>
      <c r="AC60" s="3">
        <v>6.018518518518519E-4</v>
      </c>
      <c r="AD60" s="1">
        <v>49</v>
      </c>
      <c r="AE60" s="1">
        <v>8</v>
      </c>
      <c r="AF60" s="1">
        <v>8.7707800000000002</v>
      </c>
      <c r="AG60" s="3">
        <v>8.1018518518518516E-5</v>
      </c>
      <c r="AH60" s="1">
        <v>8</v>
      </c>
      <c r="AI60" s="1">
        <v>2</v>
      </c>
      <c r="AJ60" s="1">
        <v>0.74365999999999999</v>
      </c>
      <c r="AK60" s="3">
        <v>0</v>
      </c>
      <c r="AL60" s="1">
        <v>2</v>
      </c>
      <c r="AM60" s="1">
        <v>5.3195899999999998</v>
      </c>
      <c r="AN60" s="1">
        <v>-5.8937299999999997</v>
      </c>
      <c r="AO60" s="1">
        <v>214.42475999999999</v>
      </c>
      <c r="AP60" s="1">
        <v>20</v>
      </c>
      <c r="AQ60" s="1">
        <v>12.05162</v>
      </c>
      <c r="AR60" s="1">
        <v>2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3679.5225700000001</v>
      </c>
      <c r="AZ60" s="1">
        <v>144</v>
      </c>
      <c r="BA60" s="1">
        <v>144</v>
      </c>
      <c r="BB60" s="1">
        <v>33</v>
      </c>
      <c r="BC60" s="1">
        <v>33</v>
      </c>
      <c r="BD60" s="1">
        <v>23</v>
      </c>
      <c r="BE60" s="1">
        <v>10</v>
      </c>
      <c r="BF60" s="1">
        <v>226.47638000000001</v>
      </c>
      <c r="BG60" s="1">
        <v>12.05162</v>
      </c>
      <c r="BH60" s="1">
        <v>0</v>
      </c>
      <c r="BI60" s="1">
        <v>0</v>
      </c>
      <c r="BJ60" s="1">
        <v>22</v>
      </c>
      <c r="BK60" s="1">
        <v>0</v>
      </c>
      <c r="BL60" s="1">
        <v>202.85176000000001</v>
      </c>
      <c r="BM60" s="1">
        <v>0</v>
      </c>
      <c r="BN60" s="3">
        <v>0.1030787037037037</v>
      </c>
      <c r="BO60" s="1" t="s">
        <v>130</v>
      </c>
      <c r="BP60" s="1" t="s">
        <v>130</v>
      </c>
      <c r="BQ60" s="1" t="s">
        <v>130</v>
      </c>
      <c r="BR60" s="1">
        <v>12.13735</v>
      </c>
      <c r="BS60" s="1">
        <v>290</v>
      </c>
      <c r="BT60" s="1">
        <v>10.75995</v>
      </c>
      <c r="BU60" s="1">
        <v>78</v>
      </c>
      <c r="BV60" s="1">
        <v>9.5356500000000004</v>
      </c>
      <c r="BW60" s="1">
        <v>33.787199999999999</v>
      </c>
      <c r="BX60" s="1">
        <v>0</v>
      </c>
      <c r="BY60" s="1">
        <v>50</v>
      </c>
      <c r="BZ60" s="1">
        <v>10.89176</v>
      </c>
      <c r="CA60" s="1">
        <v>30.263400000000001</v>
      </c>
      <c r="CB60" s="1">
        <v>0.88475999999999999</v>
      </c>
      <c r="CC60" s="1">
        <v>20</v>
      </c>
      <c r="CD60" s="1">
        <v>5.0351400000000002</v>
      </c>
      <c r="CE60" s="1">
        <v>5.0723799999999999</v>
      </c>
      <c r="CF60" s="1">
        <v>4.9978899999999999</v>
      </c>
      <c r="CG60" s="1">
        <v>2</v>
      </c>
      <c r="CH60" s="1" t="s">
        <v>130</v>
      </c>
      <c r="CI60" s="1" t="s">
        <v>130</v>
      </c>
      <c r="CJ60" s="1" t="s">
        <v>130</v>
      </c>
      <c r="CK60" s="1">
        <v>0</v>
      </c>
      <c r="CL60" s="1" t="s">
        <v>130</v>
      </c>
      <c r="CM60" s="1" t="s">
        <v>130</v>
      </c>
      <c r="CN60" s="1" t="s">
        <v>130</v>
      </c>
      <c r="CO60" s="1">
        <v>0</v>
      </c>
      <c r="CP60" s="1">
        <v>12.13735</v>
      </c>
      <c r="CQ60" s="1">
        <v>290</v>
      </c>
      <c r="CR60" s="1">
        <v>10.75995</v>
      </c>
      <c r="CS60" s="1">
        <v>78</v>
      </c>
      <c r="CT60" s="1">
        <v>9.5356500000000004</v>
      </c>
      <c r="CU60" s="1">
        <v>33.787199999999999</v>
      </c>
      <c r="CV60" s="1">
        <v>0</v>
      </c>
      <c r="CW60" s="1">
        <v>50</v>
      </c>
      <c r="CX60" s="1">
        <v>10.89176</v>
      </c>
      <c r="CY60" s="1">
        <v>30.263400000000001</v>
      </c>
      <c r="CZ60" s="1">
        <v>0.88475999999999999</v>
      </c>
      <c r="DA60" s="1">
        <v>20</v>
      </c>
      <c r="DB60" s="1">
        <v>5.0351400000000002</v>
      </c>
      <c r="DC60" s="1">
        <v>5.0723799999999999</v>
      </c>
      <c r="DD60" s="1">
        <v>4.9978899999999999</v>
      </c>
      <c r="DE60" s="1">
        <v>2</v>
      </c>
      <c r="DF60" s="1" t="s">
        <v>130</v>
      </c>
      <c r="DG60" s="1" t="s">
        <v>130</v>
      </c>
      <c r="DH60" s="1" t="s">
        <v>130</v>
      </c>
      <c r="DI60" s="1">
        <v>0</v>
      </c>
      <c r="DJ60" s="1" t="s">
        <v>130</v>
      </c>
      <c r="DK60" s="1" t="s">
        <v>130</v>
      </c>
      <c r="DL60" s="1" t="s">
        <v>130</v>
      </c>
      <c r="DM60" s="1">
        <v>0</v>
      </c>
      <c r="DN60" s="1">
        <v>0</v>
      </c>
      <c r="DO60" s="1">
        <v>56.966340000000002</v>
      </c>
      <c r="DP60" s="1">
        <v>3.6833100000000001</v>
      </c>
      <c r="DQ60" s="1">
        <v>108.81452</v>
      </c>
      <c r="DR60" s="1">
        <v>33</v>
      </c>
      <c r="DS60" s="1">
        <v>3.3822800000000002</v>
      </c>
      <c r="DT60" s="1">
        <v>3.56657</v>
      </c>
      <c r="DU60" s="1">
        <v>3672.17848</v>
      </c>
      <c r="DV60" s="1">
        <v>134.17500000000001</v>
      </c>
      <c r="DW60" s="1">
        <v>144</v>
      </c>
      <c r="DX60" s="1">
        <v>1</v>
      </c>
      <c r="DY60" s="3">
        <v>0.1030787037037037</v>
      </c>
      <c r="DZ60" t="str">
        <f>IF(GPS_Table[[#This Row],[Max Vel (% Max)]] &gt;= 90, "YES", "NO")</f>
        <v>NO</v>
      </c>
    </row>
    <row r="61" spans="1:130" ht="14.25" customHeight="1" x14ac:dyDescent="0.2">
      <c r="A61" s="1" t="s">
        <v>202</v>
      </c>
      <c r="B61" s="1" t="s">
        <v>128</v>
      </c>
      <c r="C61" s="1" t="s">
        <v>129</v>
      </c>
      <c r="D61" s="1">
        <v>20.7</v>
      </c>
      <c r="E61" s="1">
        <v>15.9015</v>
      </c>
      <c r="F61" s="1">
        <v>76.818830000000005</v>
      </c>
      <c r="G61" s="1">
        <v>0.21032000000000001</v>
      </c>
      <c r="H61" s="1">
        <v>312.80797000000001</v>
      </c>
      <c r="I61" s="1">
        <v>5317.7354500000001</v>
      </c>
      <c r="J61" s="3">
        <v>6.053240740740741E-3</v>
      </c>
      <c r="K61" s="3">
        <v>0.1030787037037037</v>
      </c>
      <c r="L61" s="1">
        <v>375.98575</v>
      </c>
      <c r="M61" s="1">
        <v>22.116810000000001</v>
      </c>
      <c r="N61" s="1">
        <v>3.9954399999999999</v>
      </c>
      <c r="O61" s="1">
        <v>2.5327600000000001</v>
      </c>
      <c r="P61" s="1">
        <v>375.98575</v>
      </c>
      <c r="Q61" s="1">
        <v>1873.27493</v>
      </c>
      <c r="R61" s="3">
        <v>4.7453703703703704E-4</v>
      </c>
      <c r="S61" s="1">
        <v>185.60804999999999</v>
      </c>
      <c r="T61" s="1">
        <v>40</v>
      </c>
      <c r="U61" s="1">
        <v>5</v>
      </c>
      <c r="V61" s="3">
        <v>5.7870370370370373E-5</v>
      </c>
      <c r="W61" s="1">
        <v>17.125979999999998</v>
      </c>
      <c r="X61" s="1">
        <v>0</v>
      </c>
      <c r="Y61" s="1">
        <v>0</v>
      </c>
      <c r="Z61" s="3">
        <v>0</v>
      </c>
      <c r="AA61" s="1">
        <v>24</v>
      </c>
      <c r="AB61" s="1">
        <v>34.350389999999997</v>
      </c>
      <c r="AC61" s="3">
        <v>3.8194444444444446E-4</v>
      </c>
      <c r="AD61" s="1">
        <v>24</v>
      </c>
      <c r="AE61" s="1">
        <v>5</v>
      </c>
      <c r="AF61" s="1">
        <v>3.7292200000000002</v>
      </c>
      <c r="AG61" s="3">
        <v>2.3148148148148147E-5</v>
      </c>
      <c r="AH61" s="1">
        <v>5</v>
      </c>
      <c r="AI61" s="1">
        <v>0</v>
      </c>
      <c r="AJ61" s="1">
        <v>0.44838</v>
      </c>
      <c r="AK61" s="3">
        <v>0</v>
      </c>
      <c r="AL61" s="1">
        <v>0</v>
      </c>
      <c r="AM61" s="1">
        <v>4.6604400000000004</v>
      </c>
      <c r="AN61" s="1">
        <v>-4.53111</v>
      </c>
      <c r="AO61" s="1">
        <v>85.378389999999996</v>
      </c>
      <c r="AP61" s="1">
        <v>10</v>
      </c>
      <c r="AQ61" s="1">
        <v>5.9492599999999998</v>
      </c>
      <c r="AR61" s="1">
        <v>1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3062.5189</v>
      </c>
      <c r="AZ61" s="1">
        <v>74</v>
      </c>
      <c r="BA61" s="1">
        <v>74</v>
      </c>
      <c r="BB61" s="1">
        <v>10</v>
      </c>
      <c r="BC61" s="1">
        <v>10</v>
      </c>
      <c r="BD61" s="1">
        <v>5</v>
      </c>
      <c r="BE61" s="1">
        <v>5</v>
      </c>
      <c r="BF61" s="1">
        <v>91.327650000000006</v>
      </c>
      <c r="BG61" s="1">
        <v>5.9492599999999998</v>
      </c>
      <c r="BH61" s="1">
        <v>0</v>
      </c>
      <c r="BI61" s="1">
        <v>0</v>
      </c>
      <c r="BJ61" s="1">
        <v>11</v>
      </c>
      <c r="BK61" s="1">
        <v>0</v>
      </c>
      <c r="BL61" s="1">
        <v>171.21288000000001</v>
      </c>
      <c r="BM61" s="1">
        <v>0</v>
      </c>
      <c r="BN61" s="3">
        <v>0.1030787037037037</v>
      </c>
      <c r="BO61" s="1" t="s">
        <v>130</v>
      </c>
      <c r="BP61" s="1" t="s">
        <v>130</v>
      </c>
      <c r="BQ61" s="1" t="s">
        <v>130</v>
      </c>
      <c r="BR61" s="1">
        <v>12.478529999999999</v>
      </c>
      <c r="BS61" s="1">
        <v>226</v>
      </c>
      <c r="BT61" s="1">
        <v>12.727539999999999</v>
      </c>
      <c r="BU61" s="1">
        <v>41</v>
      </c>
      <c r="BV61" s="1">
        <v>9.1710799999999999</v>
      </c>
      <c r="BW61" s="1">
        <v>27.63336</v>
      </c>
      <c r="BX61" s="1">
        <v>0.96786000000000005</v>
      </c>
      <c r="BY61" s="1">
        <v>27</v>
      </c>
      <c r="BZ61" s="1">
        <v>9.8322000000000003</v>
      </c>
      <c r="CA61" s="1">
        <v>20.221969999999999</v>
      </c>
      <c r="CB61" s="1">
        <v>4.77475</v>
      </c>
      <c r="CC61" s="1">
        <v>9</v>
      </c>
      <c r="CD61" s="1">
        <v>3.7042899999999999</v>
      </c>
      <c r="CE61" s="1">
        <v>3.7042899999999999</v>
      </c>
      <c r="CF61" s="1">
        <v>3.7042899999999999</v>
      </c>
      <c r="CG61" s="1">
        <v>1</v>
      </c>
      <c r="CH61" s="1" t="s">
        <v>130</v>
      </c>
      <c r="CI61" s="1" t="s">
        <v>130</v>
      </c>
      <c r="CJ61" s="1" t="s">
        <v>130</v>
      </c>
      <c r="CK61" s="1">
        <v>0</v>
      </c>
      <c r="CL61" s="1" t="s">
        <v>130</v>
      </c>
      <c r="CM61" s="1" t="s">
        <v>130</v>
      </c>
      <c r="CN61" s="1" t="s">
        <v>130</v>
      </c>
      <c r="CO61" s="1">
        <v>0</v>
      </c>
      <c r="CP61" s="1">
        <v>12.21851</v>
      </c>
      <c r="CQ61" s="1">
        <v>229</v>
      </c>
      <c r="CR61" s="1">
        <v>12.64274</v>
      </c>
      <c r="CS61" s="1">
        <v>41</v>
      </c>
      <c r="CT61" s="1">
        <v>9.1314200000000003</v>
      </c>
      <c r="CU61" s="1">
        <v>27.63336</v>
      </c>
      <c r="CV61" s="1">
        <v>0.96786000000000005</v>
      </c>
      <c r="CW61" s="1">
        <v>27</v>
      </c>
      <c r="CX61" s="1">
        <v>9.8322000000000003</v>
      </c>
      <c r="CY61" s="1">
        <v>20.221969999999999</v>
      </c>
      <c r="CZ61" s="1">
        <v>4.77475</v>
      </c>
      <c r="DA61" s="1">
        <v>9</v>
      </c>
      <c r="DB61" s="1">
        <v>3.7042899999999999</v>
      </c>
      <c r="DC61" s="1">
        <v>3.7042899999999999</v>
      </c>
      <c r="DD61" s="1">
        <v>3.7042899999999999</v>
      </c>
      <c r="DE61" s="1">
        <v>1</v>
      </c>
      <c r="DF61" s="1" t="s">
        <v>130</v>
      </c>
      <c r="DG61" s="1" t="s">
        <v>130</v>
      </c>
      <c r="DH61" s="1" t="s">
        <v>130</v>
      </c>
      <c r="DI61" s="1">
        <v>0</v>
      </c>
      <c r="DJ61" s="1" t="s">
        <v>130</v>
      </c>
      <c r="DK61" s="1" t="s">
        <v>130</v>
      </c>
      <c r="DL61" s="1" t="s">
        <v>130</v>
      </c>
      <c r="DM61" s="1">
        <v>0</v>
      </c>
      <c r="DN61" s="1">
        <v>0</v>
      </c>
      <c r="DO61" s="1">
        <v>15.45237</v>
      </c>
      <c r="DP61" s="1">
        <v>3.5226899999999999</v>
      </c>
      <c r="DQ61" s="1">
        <v>21.30358</v>
      </c>
      <c r="DR61" s="1">
        <v>10</v>
      </c>
      <c r="DS61" s="1">
        <v>4.5214499999999997</v>
      </c>
      <c r="DT61" s="1">
        <v>1.7174199999999999</v>
      </c>
      <c r="DU61" s="1">
        <v>3054.6806999999999</v>
      </c>
      <c r="DV61" s="1">
        <v>136.03666999999999</v>
      </c>
      <c r="DW61" s="1">
        <v>74</v>
      </c>
      <c r="DX61" s="1">
        <v>0</v>
      </c>
      <c r="DY61" s="3">
        <v>0.1030787037037037</v>
      </c>
      <c r="DZ61" t="str">
        <f>IF(GPS_Table[[#This Row],[Max Vel (% Max)]] &gt;= 90, "YES", "NO")</f>
        <v>NO</v>
      </c>
    </row>
    <row r="62" spans="1:130" ht="14.25" customHeight="1" x14ac:dyDescent="0.2">
      <c r="A62" s="1" t="s">
        <v>203</v>
      </c>
      <c r="B62" s="1" t="s">
        <v>140</v>
      </c>
      <c r="C62" s="1" t="s">
        <v>129</v>
      </c>
      <c r="D62" s="1">
        <v>20.7</v>
      </c>
      <c r="E62" s="1">
        <v>18.189060000000001</v>
      </c>
      <c r="F62" s="1">
        <v>87.869829999999993</v>
      </c>
      <c r="G62" s="1">
        <v>0.15356</v>
      </c>
      <c r="H62" s="1">
        <v>233.68800999999999</v>
      </c>
      <c r="I62" s="1">
        <v>3037.94409</v>
      </c>
      <c r="J62" s="3">
        <v>7.9166666666666673E-3</v>
      </c>
      <c r="K62" s="3">
        <v>0.10300925925925926</v>
      </c>
      <c r="L62" s="1">
        <v>325.52089999999998</v>
      </c>
      <c r="M62" s="1">
        <v>25.04007</v>
      </c>
      <c r="N62" s="1">
        <v>5.3156699999999999</v>
      </c>
      <c r="O62" s="1">
        <v>2.1945100000000002</v>
      </c>
      <c r="P62" s="1">
        <v>325.52089999999998</v>
      </c>
      <c r="Q62" s="1">
        <v>1366.6838299999999</v>
      </c>
      <c r="R62" s="3">
        <v>1.8518518518518518E-4</v>
      </c>
      <c r="S62" s="1">
        <v>77.165360000000007</v>
      </c>
      <c r="T62" s="1">
        <v>11</v>
      </c>
      <c r="U62" s="1">
        <v>8</v>
      </c>
      <c r="V62" s="3">
        <v>8.1018518518518516E-5</v>
      </c>
      <c r="W62" s="1">
        <v>41.469819999999999</v>
      </c>
      <c r="X62" s="1">
        <v>1</v>
      </c>
      <c r="Y62" s="1">
        <v>2.4606300000000001</v>
      </c>
      <c r="Z62" s="3">
        <v>0</v>
      </c>
      <c r="AA62" s="1">
        <v>9</v>
      </c>
      <c r="AB62" s="1">
        <v>22.867450000000002</v>
      </c>
      <c r="AC62" s="3">
        <v>1.5046296296296297E-4</v>
      </c>
      <c r="AD62" s="1">
        <v>9</v>
      </c>
      <c r="AE62" s="1">
        <v>4</v>
      </c>
      <c r="AF62" s="1">
        <v>3.0949300000000002</v>
      </c>
      <c r="AG62" s="3">
        <v>1.1574074074074073E-5</v>
      </c>
      <c r="AH62" s="1">
        <v>4</v>
      </c>
      <c r="AI62" s="1">
        <v>1</v>
      </c>
      <c r="AJ62" s="1">
        <v>2.9965000000000002</v>
      </c>
      <c r="AK62" s="3">
        <v>3.4722222222222222E-5</v>
      </c>
      <c r="AL62" s="1">
        <v>1</v>
      </c>
      <c r="AM62" s="1">
        <v>5.0137200000000002</v>
      </c>
      <c r="AN62" s="1">
        <v>-8.2309699999999992</v>
      </c>
      <c r="AO62" s="1">
        <v>88.167109999999994</v>
      </c>
      <c r="AP62" s="1">
        <v>8</v>
      </c>
      <c r="AQ62" s="1">
        <v>55.850830000000002</v>
      </c>
      <c r="AR62" s="1">
        <v>4</v>
      </c>
      <c r="AS62" s="1">
        <v>35.608049999999999</v>
      </c>
      <c r="AT62" s="1">
        <v>35.608049999999999</v>
      </c>
      <c r="AU62" s="1">
        <v>3</v>
      </c>
      <c r="AV62" s="1">
        <v>0</v>
      </c>
      <c r="AW62" s="1">
        <v>0</v>
      </c>
      <c r="AX62" s="1">
        <v>0</v>
      </c>
      <c r="AY62" s="1">
        <v>1507.81503</v>
      </c>
      <c r="AZ62" s="1">
        <v>34</v>
      </c>
      <c r="BA62" s="1">
        <v>34</v>
      </c>
      <c r="BB62" s="1">
        <v>14</v>
      </c>
      <c r="BC62" s="1">
        <v>14</v>
      </c>
      <c r="BD62" s="1">
        <v>9</v>
      </c>
      <c r="BE62" s="1">
        <v>5</v>
      </c>
      <c r="BF62" s="1">
        <v>179.62599</v>
      </c>
      <c r="BG62" s="1">
        <v>91.458879999999994</v>
      </c>
      <c r="BH62" s="1">
        <v>35.608049999999999</v>
      </c>
      <c r="BI62" s="1">
        <v>0</v>
      </c>
      <c r="BJ62" s="1">
        <v>15</v>
      </c>
      <c r="BK62" s="1">
        <v>0</v>
      </c>
      <c r="BL62" s="1">
        <v>132.08927</v>
      </c>
      <c r="BM62" s="1">
        <v>0</v>
      </c>
      <c r="BN62" s="3">
        <v>0.10300925925925926</v>
      </c>
      <c r="BO62" s="1" t="s">
        <v>130</v>
      </c>
      <c r="BP62" s="1" t="s">
        <v>130</v>
      </c>
      <c r="BQ62" s="1" t="s">
        <v>130</v>
      </c>
      <c r="BR62" s="1">
        <v>8.8619599999999998</v>
      </c>
      <c r="BS62" s="1">
        <v>142</v>
      </c>
      <c r="BT62" s="1">
        <v>15.14598</v>
      </c>
      <c r="BU62" s="1">
        <v>18</v>
      </c>
      <c r="BV62" s="1">
        <v>18.3169</v>
      </c>
      <c r="BW62" s="1">
        <v>48.073059999999998</v>
      </c>
      <c r="BX62" s="1">
        <v>0.32552999999999999</v>
      </c>
      <c r="BY62" s="1">
        <v>12</v>
      </c>
      <c r="BZ62" s="1">
        <v>19.065200000000001</v>
      </c>
      <c r="CA62" s="1">
        <v>44.649909999999998</v>
      </c>
      <c r="CB62" s="1">
        <v>0.20097999999999999</v>
      </c>
      <c r="CC62" s="1">
        <v>9</v>
      </c>
      <c r="CD62" s="1">
        <v>17.26519</v>
      </c>
      <c r="CE62" s="1">
        <v>32.821280000000002</v>
      </c>
      <c r="CF62" s="1">
        <v>3.3163499999999999</v>
      </c>
      <c r="CG62" s="1">
        <v>5</v>
      </c>
      <c r="CH62" s="1">
        <v>11.38008</v>
      </c>
      <c r="CI62" s="1">
        <v>15.54688</v>
      </c>
      <c r="CJ62" s="1">
        <v>7.5874100000000002</v>
      </c>
      <c r="CK62" s="1">
        <v>3</v>
      </c>
      <c r="CL62" s="1" t="s">
        <v>130</v>
      </c>
      <c r="CM62" s="1" t="s">
        <v>130</v>
      </c>
      <c r="CN62" s="1" t="s">
        <v>130</v>
      </c>
      <c r="CO62" s="1">
        <v>0</v>
      </c>
      <c r="CP62" s="1">
        <v>8.8948</v>
      </c>
      <c r="CQ62" s="1">
        <v>141</v>
      </c>
      <c r="CR62" s="1">
        <v>15.14598</v>
      </c>
      <c r="CS62" s="1">
        <v>18</v>
      </c>
      <c r="CT62" s="1">
        <v>18.357050000000001</v>
      </c>
      <c r="CU62" s="1">
        <v>48.073059999999998</v>
      </c>
      <c r="CV62" s="1">
        <v>0.32552999999999999</v>
      </c>
      <c r="CW62" s="1">
        <v>12</v>
      </c>
      <c r="CX62" s="1">
        <v>19.065200000000001</v>
      </c>
      <c r="CY62" s="1">
        <v>44.649909999999998</v>
      </c>
      <c r="CZ62" s="1">
        <v>0.20097999999999999</v>
      </c>
      <c r="DA62" s="1">
        <v>9</v>
      </c>
      <c r="DB62" s="1">
        <v>17.26519</v>
      </c>
      <c r="DC62" s="1">
        <v>32.821280000000002</v>
      </c>
      <c r="DD62" s="1">
        <v>3.3163499999999999</v>
      </c>
      <c r="DE62" s="1">
        <v>5</v>
      </c>
      <c r="DF62" s="1">
        <v>11.38008</v>
      </c>
      <c r="DG62" s="1">
        <v>15.54688</v>
      </c>
      <c r="DH62" s="1">
        <v>7.5874100000000002</v>
      </c>
      <c r="DI62" s="1">
        <v>3</v>
      </c>
      <c r="DJ62" s="1" t="s">
        <v>130</v>
      </c>
      <c r="DK62" s="1" t="s">
        <v>130</v>
      </c>
      <c r="DL62" s="1" t="s">
        <v>130</v>
      </c>
      <c r="DM62" s="1">
        <v>0</v>
      </c>
      <c r="DN62" s="1">
        <v>35.608049999999999</v>
      </c>
      <c r="DO62" s="1">
        <v>37.45682</v>
      </c>
      <c r="DP62" s="1">
        <v>4.49871</v>
      </c>
      <c r="DQ62" s="1">
        <v>50.021880000000003</v>
      </c>
      <c r="DR62" s="1">
        <v>14</v>
      </c>
      <c r="DS62" s="1">
        <v>3.3792</v>
      </c>
      <c r="DT62" s="1">
        <v>5.91275</v>
      </c>
      <c r="DU62" s="1">
        <v>1501.78259</v>
      </c>
      <c r="DV62" s="1">
        <v>140.51</v>
      </c>
      <c r="DW62" s="1">
        <v>34</v>
      </c>
      <c r="DX62" s="1">
        <v>1</v>
      </c>
      <c r="DY62" s="3">
        <v>0.10300925925925926</v>
      </c>
      <c r="DZ62" t="str">
        <f>IF(GPS_Table[[#This Row],[Max Vel (% Max)]] &gt;= 90, "YES", "NO")</f>
        <v>NO</v>
      </c>
    </row>
    <row r="63" spans="1:130" ht="14.25" customHeight="1" x14ac:dyDescent="0.2">
      <c r="A63" s="1" t="s">
        <v>204</v>
      </c>
      <c r="B63" s="1" t="s">
        <v>136</v>
      </c>
      <c r="C63" s="1" t="s">
        <v>129</v>
      </c>
      <c r="D63" s="1">
        <v>19.7</v>
      </c>
      <c r="E63" s="1">
        <v>18.288679999999999</v>
      </c>
      <c r="F63" s="1">
        <v>92.835939999999994</v>
      </c>
      <c r="G63" s="1">
        <v>0.1585</v>
      </c>
      <c r="H63" s="1">
        <v>238.49877000000001</v>
      </c>
      <c r="I63" s="1">
        <v>4054.4791500000001</v>
      </c>
      <c r="J63" s="3">
        <v>6.053240740740741E-3</v>
      </c>
      <c r="K63" s="3">
        <v>0.1030787037037037</v>
      </c>
      <c r="L63" s="1">
        <v>299.82346999999999</v>
      </c>
      <c r="M63" s="1">
        <v>17.636669999999999</v>
      </c>
      <c r="N63" s="1">
        <v>5.8843399999999999</v>
      </c>
      <c r="O63" s="1">
        <v>2.0197099999999999</v>
      </c>
      <c r="P63" s="1">
        <v>299.82346999999999</v>
      </c>
      <c r="Q63" s="1">
        <v>1411.72603</v>
      </c>
      <c r="R63" s="3">
        <v>4.6296296296296298E-4</v>
      </c>
      <c r="S63" s="1">
        <v>171.53325000000001</v>
      </c>
      <c r="T63" s="1">
        <v>29</v>
      </c>
      <c r="U63" s="1">
        <v>7</v>
      </c>
      <c r="V63" s="3">
        <v>6.9444444444444444E-5</v>
      </c>
      <c r="W63" s="1">
        <v>36.920380000000002</v>
      </c>
      <c r="X63" s="1">
        <v>0</v>
      </c>
      <c r="Y63" s="1">
        <v>0</v>
      </c>
      <c r="Z63" s="3">
        <v>0</v>
      </c>
      <c r="AA63" s="1">
        <v>17</v>
      </c>
      <c r="AB63" s="1">
        <v>29.243220000000001</v>
      </c>
      <c r="AC63" s="3">
        <v>2.8935185185185184E-4</v>
      </c>
      <c r="AD63" s="1">
        <v>17</v>
      </c>
      <c r="AE63" s="1">
        <v>5</v>
      </c>
      <c r="AF63" s="1">
        <v>4.6369199999999999</v>
      </c>
      <c r="AG63" s="3">
        <v>3.4722222222222222E-5</v>
      </c>
      <c r="AH63" s="1">
        <v>5</v>
      </c>
      <c r="AI63" s="1">
        <v>0</v>
      </c>
      <c r="AJ63" s="1">
        <v>0</v>
      </c>
      <c r="AK63" s="3">
        <v>0</v>
      </c>
      <c r="AL63" s="1">
        <v>0</v>
      </c>
      <c r="AM63" s="1">
        <v>4.2717999999999998</v>
      </c>
      <c r="AN63" s="1">
        <v>-4.38741</v>
      </c>
      <c r="AO63" s="1">
        <v>68.569550000000007</v>
      </c>
      <c r="AP63" s="1">
        <v>6</v>
      </c>
      <c r="AQ63" s="1">
        <v>18.066490000000002</v>
      </c>
      <c r="AR63" s="1">
        <v>2</v>
      </c>
      <c r="AS63" s="1">
        <v>50.164050000000003</v>
      </c>
      <c r="AT63" s="1">
        <v>37.992130000000003</v>
      </c>
      <c r="AU63" s="1">
        <v>2</v>
      </c>
      <c r="AV63" s="1">
        <v>1</v>
      </c>
      <c r="AW63" s="1">
        <v>12.17192</v>
      </c>
      <c r="AX63" s="1">
        <v>1</v>
      </c>
      <c r="AY63" s="1">
        <v>2521.627</v>
      </c>
      <c r="AZ63" s="1">
        <v>58</v>
      </c>
      <c r="BA63" s="1">
        <v>58</v>
      </c>
      <c r="BB63" s="1">
        <v>12</v>
      </c>
      <c r="BC63" s="1">
        <v>12</v>
      </c>
      <c r="BD63" s="1">
        <v>7</v>
      </c>
      <c r="BE63" s="1">
        <v>5</v>
      </c>
      <c r="BF63" s="1">
        <v>136.80009000000001</v>
      </c>
      <c r="BG63" s="1">
        <v>68.230540000000005</v>
      </c>
      <c r="BH63" s="1">
        <v>50.164050000000003</v>
      </c>
      <c r="BI63" s="1">
        <v>12.17192</v>
      </c>
      <c r="BJ63" s="1">
        <v>11</v>
      </c>
      <c r="BK63" s="1">
        <v>0</v>
      </c>
      <c r="BL63" s="1">
        <v>136.51957999999999</v>
      </c>
      <c r="BM63" s="1">
        <v>1</v>
      </c>
      <c r="BN63" s="3">
        <v>0.1030787037037037</v>
      </c>
      <c r="BO63" s="1" t="s">
        <v>130</v>
      </c>
      <c r="BP63" s="1" t="s">
        <v>130</v>
      </c>
      <c r="BQ63" s="1" t="s">
        <v>130</v>
      </c>
      <c r="BR63" s="1">
        <v>12.64419</v>
      </c>
      <c r="BS63" s="1">
        <v>183</v>
      </c>
      <c r="BT63" s="1">
        <v>12.34215</v>
      </c>
      <c r="BU63" s="1">
        <v>40</v>
      </c>
      <c r="BV63" s="1">
        <v>12.15648</v>
      </c>
      <c r="BW63" s="1">
        <v>54.529679999999999</v>
      </c>
      <c r="BX63" s="1">
        <v>0</v>
      </c>
      <c r="BY63" s="1">
        <v>17</v>
      </c>
      <c r="BZ63" s="1">
        <v>22.509329999999999</v>
      </c>
      <c r="CA63" s="1">
        <v>49.11741</v>
      </c>
      <c r="CB63" s="1">
        <v>5.6729200000000004</v>
      </c>
      <c r="CC63" s="1">
        <v>6</v>
      </c>
      <c r="CD63" s="1">
        <v>33.493540000000003</v>
      </c>
      <c r="CE63" s="1">
        <v>35.406799999999997</v>
      </c>
      <c r="CF63" s="1">
        <v>31.580290000000002</v>
      </c>
      <c r="CG63" s="1">
        <v>2</v>
      </c>
      <c r="CH63" s="1">
        <v>23.959430000000001</v>
      </c>
      <c r="CI63" s="1">
        <v>25.501940000000001</v>
      </c>
      <c r="CJ63" s="1">
        <v>22.41694</v>
      </c>
      <c r="CK63" s="1">
        <v>2</v>
      </c>
      <c r="CL63" s="1">
        <v>8.8605099999999997</v>
      </c>
      <c r="CM63" s="1">
        <v>8.8605099999999997</v>
      </c>
      <c r="CN63" s="1">
        <v>8.8605099999999997</v>
      </c>
      <c r="CO63" s="1">
        <v>1</v>
      </c>
      <c r="CP63" s="1">
        <v>12.375780000000001</v>
      </c>
      <c r="CQ63" s="1">
        <v>186</v>
      </c>
      <c r="CR63" s="1">
        <v>12.581300000000001</v>
      </c>
      <c r="CS63" s="1">
        <v>39</v>
      </c>
      <c r="CT63" s="1">
        <v>12.017720000000001</v>
      </c>
      <c r="CU63" s="1">
        <v>54.529679999999999</v>
      </c>
      <c r="CV63" s="1">
        <v>0</v>
      </c>
      <c r="CW63" s="1">
        <v>17</v>
      </c>
      <c r="CX63" s="1">
        <v>22.509329999999999</v>
      </c>
      <c r="CY63" s="1">
        <v>49.11741</v>
      </c>
      <c r="CZ63" s="1">
        <v>5.6729200000000004</v>
      </c>
      <c r="DA63" s="1">
        <v>6</v>
      </c>
      <c r="DB63" s="1">
        <v>33.493540000000003</v>
      </c>
      <c r="DC63" s="1">
        <v>35.406799999999997</v>
      </c>
      <c r="DD63" s="1">
        <v>31.580290000000002</v>
      </c>
      <c r="DE63" s="1">
        <v>2</v>
      </c>
      <c r="DF63" s="1">
        <v>23.959430000000001</v>
      </c>
      <c r="DG63" s="1">
        <v>25.501940000000001</v>
      </c>
      <c r="DH63" s="1">
        <v>22.41694</v>
      </c>
      <c r="DI63" s="1">
        <v>2</v>
      </c>
      <c r="DJ63" s="1">
        <v>8.8605099999999997</v>
      </c>
      <c r="DK63" s="1">
        <v>8.8605099999999997</v>
      </c>
      <c r="DL63" s="1">
        <v>8.8605099999999997</v>
      </c>
      <c r="DM63" s="1">
        <v>1</v>
      </c>
      <c r="DN63" s="1">
        <v>50.164050000000003</v>
      </c>
      <c r="DO63" s="1">
        <v>30.874890000000001</v>
      </c>
      <c r="DP63" s="1">
        <v>3.4818899999999999</v>
      </c>
      <c r="DQ63" s="1">
        <v>41.557299999999998</v>
      </c>
      <c r="DR63" s="1">
        <v>12</v>
      </c>
      <c r="DS63" s="1">
        <v>2.3347099999999998</v>
      </c>
      <c r="DT63" s="1">
        <v>3.37405</v>
      </c>
      <c r="DU63" s="1">
        <v>2518.1977400000001</v>
      </c>
      <c r="DV63" s="1">
        <v>137.86832999999999</v>
      </c>
      <c r="DW63" s="1">
        <v>58</v>
      </c>
      <c r="DX63" s="1">
        <v>0</v>
      </c>
      <c r="DY63" s="3">
        <v>0.1030787037037037</v>
      </c>
      <c r="DZ63" t="str">
        <f>IF(GPS_Table[[#This Row],[Max Vel (% Max)]] &gt;= 90, "YES", "NO")</f>
        <v>YES</v>
      </c>
    </row>
    <row r="64" spans="1:130" ht="14.25" customHeight="1" x14ac:dyDescent="0.2">
      <c r="A64" s="1" t="s">
        <v>205</v>
      </c>
      <c r="B64" s="1" t="s">
        <v>136</v>
      </c>
      <c r="C64" s="1" t="s">
        <v>129</v>
      </c>
      <c r="D64" s="1">
        <v>18.5</v>
      </c>
      <c r="E64" s="1">
        <v>17.20091</v>
      </c>
      <c r="F64" s="1">
        <v>92.977900000000005</v>
      </c>
      <c r="G64" s="1">
        <v>0.28161999999999998</v>
      </c>
      <c r="H64" s="1">
        <v>381.36633</v>
      </c>
      <c r="I64" s="1">
        <v>6483.2275300000001</v>
      </c>
      <c r="J64" s="3">
        <v>6.053240740740741E-3</v>
      </c>
      <c r="K64" s="3">
        <v>0.1030787037037037</v>
      </c>
      <c r="L64" s="1">
        <v>553.29674999999997</v>
      </c>
      <c r="M64" s="1">
        <v>32.546869999999998</v>
      </c>
      <c r="N64" s="1">
        <v>6.65768</v>
      </c>
      <c r="O64" s="1">
        <v>3.7271800000000002</v>
      </c>
      <c r="P64" s="1">
        <v>553.29674999999997</v>
      </c>
      <c r="Q64" s="1">
        <v>2508.4020999999998</v>
      </c>
      <c r="R64" s="3">
        <v>9.4907407407407408E-4</v>
      </c>
      <c r="S64" s="1">
        <v>343.30707999999998</v>
      </c>
      <c r="T64" s="1">
        <v>49</v>
      </c>
      <c r="U64" s="1">
        <v>16</v>
      </c>
      <c r="V64" s="3">
        <v>1.8518518518518518E-4</v>
      </c>
      <c r="W64" s="1">
        <v>94.717849999999999</v>
      </c>
      <c r="X64" s="1">
        <v>0</v>
      </c>
      <c r="Y64" s="1">
        <v>0</v>
      </c>
      <c r="Z64" s="3">
        <v>0</v>
      </c>
      <c r="AA64" s="1">
        <v>37</v>
      </c>
      <c r="AB64" s="1">
        <v>55.205599999999997</v>
      </c>
      <c r="AC64" s="3">
        <v>5.0925925925925921E-4</v>
      </c>
      <c r="AD64" s="1">
        <v>37</v>
      </c>
      <c r="AE64" s="1">
        <v>6</v>
      </c>
      <c r="AF64" s="1">
        <v>6.4632500000000004</v>
      </c>
      <c r="AG64" s="3">
        <v>9.2592592592592588E-5</v>
      </c>
      <c r="AH64" s="1">
        <v>6</v>
      </c>
      <c r="AI64" s="1">
        <v>1</v>
      </c>
      <c r="AJ64" s="1">
        <v>0</v>
      </c>
      <c r="AK64" s="3">
        <v>0</v>
      </c>
      <c r="AL64" s="1">
        <v>1</v>
      </c>
      <c r="AM64" s="1">
        <v>4.2521599999999999</v>
      </c>
      <c r="AN64" s="1">
        <v>-5.6656000000000004</v>
      </c>
      <c r="AO64" s="1">
        <v>236.10016999999999</v>
      </c>
      <c r="AP64" s="1">
        <v>22</v>
      </c>
      <c r="AQ64" s="1">
        <v>91.754149999999996</v>
      </c>
      <c r="AR64" s="1">
        <v>12</v>
      </c>
      <c r="AS64" s="1">
        <v>83.694220000000001</v>
      </c>
      <c r="AT64" s="1">
        <v>64.435689999999994</v>
      </c>
      <c r="AU64" s="1">
        <v>6</v>
      </c>
      <c r="AV64" s="1">
        <v>3</v>
      </c>
      <c r="AW64" s="1">
        <v>19.25853</v>
      </c>
      <c r="AX64" s="1">
        <v>3</v>
      </c>
      <c r="AY64" s="1">
        <v>4145.7494200000001</v>
      </c>
      <c r="AZ64" s="1">
        <v>109</v>
      </c>
      <c r="BA64" s="1">
        <v>109</v>
      </c>
      <c r="BB64" s="1">
        <v>23</v>
      </c>
      <c r="BC64" s="1">
        <v>23</v>
      </c>
      <c r="BD64" s="1">
        <v>16</v>
      </c>
      <c r="BE64" s="1">
        <v>7</v>
      </c>
      <c r="BF64" s="1">
        <v>411.54854</v>
      </c>
      <c r="BG64" s="1">
        <v>175.44837000000001</v>
      </c>
      <c r="BH64" s="1">
        <v>83.694220000000001</v>
      </c>
      <c r="BI64" s="1">
        <v>19.25853</v>
      </c>
      <c r="BJ64" s="1">
        <v>43</v>
      </c>
      <c r="BK64" s="1">
        <v>0</v>
      </c>
      <c r="BL64" s="1">
        <v>217.65791999999999</v>
      </c>
      <c r="BM64" s="1">
        <v>3</v>
      </c>
      <c r="BN64" s="3">
        <v>0.1030787037037037</v>
      </c>
      <c r="BO64" s="1" t="s">
        <v>130</v>
      </c>
      <c r="BP64" s="1" t="s">
        <v>130</v>
      </c>
      <c r="BQ64" s="1" t="s">
        <v>130</v>
      </c>
      <c r="BR64" s="1">
        <v>9.45411</v>
      </c>
      <c r="BS64" s="1">
        <v>356</v>
      </c>
      <c r="BT64" s="1">
        <v>11.52633</v>
      </c>
      <c r="BU64" s="1">
        <v>79</v>
      </c>
      <c r="BV64" s="1">
        <v>13.29185</v>
      </c>
      <c r="BW64" s="1">
        <v>49.31673</v>
      </c>
      <c r="BX64" s="1">
        <v>0</v>
      </c>
      <c r="BY64" s="1">
        <v>43</v>
      </c>
      <c r="BZ64" s="1">
        <v>18.5793</v>
      </c>
      <c r="CA64" s="1">
        <v>45.944839999999999</v>
      </c>
      <c r="CB64" s="1">
        <v>0</v>
      </c>
      <c r="CC64" s="1">
        <v>22</v>
      </c>
      <c r="CD64" s="1">
        <v>13.72503</v>
      </c>
      <c r="CE64" s="1">
        <v>22.462859999999999</v>
      </c>
      <c r="CF64" s="1">
        <v>0</v>
      </c>
      <c r="CG64" s="1">
        <v>12</v>
      </c>
      <c r="CH64" s="1">
        <v>11.409610000000001</v>
      </c>
      <c r="CI64" s="1">
        <v>16.77693</v>
      </c>
      <c r="CJ64" s="1">
        <v>5.2799699999999996</v>
      </c>
      <c r="CK64" s="1">
        <v>7</v>
      </c>
      <c r="CL64" s="1">
        <v>5.69848</v>
      </c>
      <c r="CM64" s="1">
        <v>8.2613699999999994</v>
      </c>
      <c r="CN64" s="1">
        <v>3.1355900000000001</v>
      </c>
      <c r="CO64" s="1">
        <v>2</v>
      </c>
      <c r="CP64" s="1">
        <v>9.45411</v>
      </c>
      <c r="CQ64" s="1">
        <v>356</v>
      </c>
      <c r="CR64" s="1">
        <v>11.52633</v>
      </c>
      <c r="CS64" s="1">
        <v>79</v>
      </c>
      <c r="CT64" s="1">
        <v>13.29185</v>
      </c>
      <c r="CU64" s="1">
        <v>49.31673</v>
      </c>
      <c r="CV64" s="1">
        <v>0</v>
      </c>
      <c r="CW64" s="1">
        <v>43</v>
      </c>
      <c r="CX64" s="1">
        <v>18.5793</v>
      </c>
      <c r="CY64" s="1">
        <v>45.944839999999999</v>
      </c>
      <c r="CZ64" s="1">
        <v>0</v>
      </c>
      <c r="DA64" s="1">
        <v>22</v>
      </c>
      <c r="DB64" s="1">
        <v>13.72503</v>
      </c>
      <c r="DC64" s="1">
        <v>22.462859999999999</v>
      </c>
      <c r="DD64" s="1">
        <v>0</v>
      </c>
      <c r="DE64" s="1">
        <v>12</v>
      </c>
      <c r="DF64" s="1">
        <v>11.409610000000001</v>
      </c>
      <c r="DG64" s="1">
        <v>16.77693</v>
      </c>
      <c r="DH64" s="1">
        <v>5.2799699999999996</v>
      </c>
      <c r="DI64" s="1">
        <v>7</v>
      </c>
      <c r="DJ64" s="1">
        <v>5.69848</v>
      </c>
      <c r="DK64" s="1">
        <v>8.2613699999999994</v>
      </c>
      <c r="DL64" s="1">
        <v>3.1355900000000001</v>
      </c>
      <c r="DM64" s="1">
        <v>2</v>
      </c>
      <c r="DN64" s="1">
        <v>83.694220000000001</v>
      </c>
      <c r="DO64" s="1">
        <v>75.164019999999994</v>
      </c>
      <c r="DP64" s="1">
        <v>3.8690600000000002</v>
      </c>
      <c r="DQ64" s="1">
        <v>101.1811</v>
      </c>
      <c r="DR64" s="1">
        <v>23</v>
      </c>
      <c r="DS64" s="1">
        <v>3.3435899999999998</v>
      </c>
      <c r="DT64" s="1">
        <v>6.3479000000000001</v>
      </c>
      <c r="DU64" s="1">
        <v>4137.3905800000002</v>
      </c>
      <c r="DV64" s="1">
        <v>132.19833</v>
      </c>
      <c r="DW64" s="1">
        <v>109</v>
      </c>
      <c r="DX64" s="1">
        <v>0</v>
      </c>
      <c r="DY64" s="3">
        <v>0.1030787037037037</v>
      </c>
      <c r="DZ64" t="str">
        <f>IF(GPS_Table[[#This Row],[Max Vel (% Max)]] &gt;= 90, "YES", "NO")</f>
        <v>YES</v>
      </c>
    </row>
    <row r="65" spans="1:140" ht="14.25" customHeight="1" x14ac:dyDescent="0.2">
      <c r="A65" s="1" t="s">
        <v>206</v>
      </c>
      <c r="B65" s="1" t="s">
        <v>136</v>
      </c>
      <c r="C65" s="1" t="s">
        <v>129</v>
      </c>
      <c r="D65" s="1">
        <v>20</v>
      </c>
      <c r="E65" s="1">
        <v>17.197800000000001</v>
      </c>
      <c r="F65" s="1">
        <v>85.989009999999993</v>
      </c>
      <c r="G65" s="1">
        <v>0.24068999999999999</v>
      </c>
      <c r="H65" s="1">
        <v>355.62536999999998</v>
      </c>
      <c r="I65" s="1">
        <v>6045.6312699999999</v>
      </c>
      <c r="J65" s="3">
        <v>6.053240740740741E-3</v>
      </c>
      <c r="K65" s="3">
        <v>0.1030787037037037</v>
      </c>
      <c r="L65" s="1">
        <v>458.2079</v>
      </c>
      <c r="M65" s="1">
        <v>26.953410000000002</v>
      </c>
      <c r="N65" s="1">
        <v>7.1201100000000004</v>
      </c>
      <c r="O65" s="1">
        <v>3.0866400000000001</v>
      </c>
      <c r="P65" s="1">
        <v>458.2079</v>
      </c>
      <c r="Q65" s="1">
        <v>2143.8169800000001</v>
      </c>
      <c r="R65" s="3">
        <v>7.407407407407407E-4</v>
      </c>
      <c r="S65" s="1">
        <v>253.40114</v>
      </c>
      <c r="T65" s="1">
        <v>34</v>
      </c>
      <c r="U65" s="1">
        <v>10</v>
      </c>
      <c r="V65" s="3">
        <v>1.3888888888888889E-4</v>
      </c>
      <c r="W65" s="1">
        <v>63.867019999999997</v>
      </c>
      <c r="X65" s="1">
        <v>0</v>
      </c>
      <c r="Y65" s="1">
        <v>3.9698199999999999</v>
      </c>
      <c r="Z65" s="3">
        <v>0</v>
      </c>
      <c r="AA65" s="1">
        <v>24</v>
      </c>
      <c r="AB65" s="1">
        <v>47.790900000000001</v>
      </c>
      <c r="AC65" s="3">
        <v>7.5231481481481482E-4</v>
      </c>
      <c r="AD65" s="1">
        <v>24</v>
      </c>
      <c r="AE65" s="1">
        <v>5</v>
      </c>
      <c r="AF65" s="1">
        <v>9.4706899999999994</v>
      </c>
      <c r="AG65" s="3">
        <v>5.7870370370370373E-5</v>
      </c>
      <c r="AH65" s="1">
        <v>5</v>
      </c>
      <c r="AI65" s="1">
        <v>1</v>
      </c>
      <c r="AJ65" s="1">
        <v>2.5809299999999999</v>
      </c>
      <c r="AK65" s="3">
        <v>3.4722222222222222E-5</v>
      </c>
      <c r="AL65" s="1">
        <v>1</v>
      </c>
      <c r="AM65" s="1">
        <v>4.3222199999999997</v>
      </c>
      <c r="AN65" s="1">
        <v>-6.9203999999999999</v>
      </c>
      <c r="AO65" s="1">
        <v>146.71915999999999</v>
      </c>
      <c r="AP65" s="1">
        <v>13</v>
      </c>
      <c r="AQ65" s="1">
        <v>148.31584000000001</v>
      </c>
      <c r="AR65" s="1">
        <v>7</v>
      </c>
      <c r="AS65" s="1">
        <v>39.8294</v>
      </c>
      <c r="AT65" s="1">
        <v>39.8294</v>
      </c>
      <c r="AU65" s="1">
        <v>3</v>
      </c>
      <c r="AV65" s="1">
        <v>0</v>
      </c>
      <c r="AW65" s="1">
        <v>0</v>
      </c>
      <c r="AX65" s="1">
        <v>0</v>
      </c>
      <c r="AY65" s="1">
        <v>3498.24503</v>
      </c>
      <c r="AZ65" s="1">
        <v>74</v>
      </c>
      <c r="BA65" s="1">
        <v>74</v>
      </c>
      <c r="BB65" s="1">
        <v>16</v>
      </c>
      <c r="BC65" s="1">
        <v>16</v>
      </c>
      <c r="BD65" s="1">
        <v>10</v>
      </c>
      <c r="BE65" s="1">
        <v>6</v>
      </c>
      <c r="BF65" s="1">
        <v>334.86439999999999</v>
      </c>
      <c r="BG65" s="1">
        <v>188.14524</v>
      </c>
      <c r="BH65" s="1">
        <v>39.8294</v>
      </c>
      <c r="BI65" s="1">
        <v>0</v>
      </c>
      <c r="BJ65" s="1">
        <v>23</v>
      </c>
      <c r="BK65" s="1">
        <v>0</v>
      </c>
      <c r="BL65" s="1">
        <v>195.40904</v>
      </c>
      <c r="BM65" s="1">
        <v>0</v>
      </c>
      <c r="BN65" s="3">
        <v>0.1030787037037037</v>
      </c>
      <c r="BO65" s="1" t="s">
        <v>130</v>
      </c>
      <c r="BP65" s="1" t="s">
        <v>130</v>
      </c>
      <c r="BQ65" s="1" t="s">
        <v>130</v>
      </c>
      <c r="BR65" s="1">
        <v>12.01591</v>
      </c>
      <c r="BS65" s="1">
        <v>266</v>
      </c>
      <c r="BT65" s="1">
        <v>15.151490000000001</v>
      </c>
      <c r="BU65" s="1">
        <v>49</v>
      </c>
      <c r="BV65" s="1">
        <v>19.528449999999999</v>
      </c>
      <c r="BW65" s="1">
        <v>112.46168</v>
      </c>
      <c r="BX65" s="1">
        <v>0</v>
      </c>
      <c r="BY65" s="1">
        <v>23</v>
      </c>
      <c r="BZ65" s="1">
        <v>23.577000000000002</v>
      </c>
      <c r="CA65" s="1">
        <v>105.41113</v>
      </c>
      <c r="CB65" s="1">
        <v>1.24153</v>
      </c>
      <c r="CC65" s="1">
        <v>14</v>
      </c>
      <c r="CD65" s="1">
        <v>22.614599999999999</v>
      </c>
      <c r="CE65" s="1">
        <v>47.277949999999997</v>
      </c>
      <c r="CF65" s="1">
        <v>5.1556800000000003</v>
      </c>
      <c r="CG65" s="1">
        <v>8</v>
      </c>
      <c r="CH65" s="1">
        <v>7.4413600000000004</v>
      </c>
      <c r="CI65" s="1">
        <v>10.577830000000001</v>
      </c>
      <c r="CJ65" s="1">
        <v>0</v>
      </c>
      <c r="CK65" s="1">
        <v>4</v>
      </c>
      <c r="CL65" s="1" t="s">
        <v>130</v>
      </c>
      <c r="CM65" s="1" t="s">
        <v>130</v>
      </c>
      <c r="CN65" s="1" t="s">
        <v>130</v>
      </c>
      <c r="CO65" s="1">
        <v>0</v>
      </c>
      <c r="CP65" s="1">
        <v>12.01591</v>
      </c>
      <c r="CQ65" s="1">
        <v>266</v>
      </c>
      <c r="CR65" s="1">
        <v>14.880269999999999</v>
      </c>
      <c r="CS65" s="1">
        <v>50</v>
      </c>
      <c r="CT65" s="1">
        <v>19.528449999999999</v>
      </c>
      <c r="CU65" s="1">
        <v>112.46168</v>
      </c>
      <c r="CV65" s="1">
        <v>0</v>
      </c>
      <c r="CW65" s="1">
        <v>23</v>
      </c>
      <c r="CX65" s="1">
        <v>23.531770000000002</v>
      </c>
      <c r="CY65" s="1">
        <v>105.41113</v>
      </c>
      <c r="CZ65" s="1">
        <v>1.24153</v>
      </c>
      <c r="DA65" s="1">
        <v>14</v>
      </c>
      <c r="DB65" s="1">
        <v>22.614599999999999</v>
      </c>
      <c r="DC65" s="1">
        <v>47.277949999999997</v>
      </c>
      <c r="DD65" s="1">
        <v>5.1556800000000003</v>
      </c>
      <c r="DE65" s="1">
        <v>8</v>
      </c>
      <c r="DF65" s="1">
        <v>7.4413600000000004</v>
      </c>
      <c r="DG65" s="1">
        <v>10.577830000000001</v>
      </c>
      <c r="DH65" s="1">
        <v>0</v>
      </c>
      <c r="DI65" s="1">
        <v>4</v>
      </c>
      <c r="DJ65" s="1" t="s">
        <v>130</v>
      </c>
      <c r="DK65" s="1" t="s">
        <v>130</v>
      </c>
      <c r="DL65" s="1" t="s">
        <v>130</v>
      </c>
      <c r="DM65" s="1">
        <v>0</v>
      </c>
      <c r="DN65" s="1">
        <v>39.8294</v>
      </c>
      <c r="DO65" s="1">
        <v>58.95731</v>
      </c>
      <c r="DP65" s="1">
        <v>3.5460600000000002</v>
      </c>
      <c r="DQ65" s="1">
        <v>79.888459999999995</v>
      </c>
      <c r="DR65" s="1">
        <v>16</v>
      </c>
      <c r="DS65" s="1">
        <v>5.4560399999999998</v>
      </c>
      <c r="DT65" s="1">
        <v>5.5389499999999998</v>
      </c>
      <c r="DU65" s="1">
        <v>3490.0918799999999</v>
      </c>
      <c r="DV65" s="1">
        <v>135.20500000000001</v>
      </c>
      <c r="DW65" s="1">
        <v>74</v>
      </c>
      <c r="DX65" s="1">
        <v>0</v>
      </c>
      <c r="DY65" s="3">
        <v>0.1030787037037037</v>
      </c>
      <c r="DZ65" t="str">
        <f>IF(GPS_Table[[#This Row],[Max Vel (% Max)]] &gt;= 90, "YES", "NO")</f>
        <v>NO</v>
      </c>
    </row>
    <row r="66" spans="1:140" ht="14.25" customHeight="1" x14ac:dyDescent="0.2">
      <c r="A66" s="1" t="s">
        <v>207</v>
      </c>
      <c r="B66" s="1" t="s">
        <v>136</v>
      </c>
      <c r="C66" s="1" t="s">
        <v>129</v>
      </c>
      <c r="D66" s="1">
        <v>18.900099999999998</v>
      </c>
      <c r="E66" s="1">
        <v>16.634689999999999</v>
      </c>
      <c r="F66" s="1">
        <v>88.013760000000005</v>
      </c>
      <c r="G66" s="1">
        <v>0.23461000000000001</v>
      </c>
      <c r="H66" s="1">
        <v>336.25747999999999</v>
      </c>
      <c r="I66" s="1">
        <v>5716.3770800000002</v>
      </c>
      <c r="J66" s="3">
        <v>6.053240740740741E-3</v>
      </c>
      <c r="K66" s="3">
        <v>0.1030787037037037</v>
      </c>
      <c r="L66" s="1">
        <v>439.84087</v>
      </c>
      <c r="M66" s="1">
        <v>25.872990000000001</v>
      </c>
      <c r="N66" s="1">
        <v>8.2347599999999996</v>
      </c>
      <c r="O66" s="1">
        <v>2.9629099999999999</v>
      </c>
      <c r="P66" s="1">
        <v>439.84087</v>
      </c>
      <c r="Q66" s="1">
        <v>2089.64059</v>
      </c>
      <c r="R66" s="3">
        <v>8.3333333333333339E-4</v>
      </c>
      <c r="S66" s="1">
        <v>309.61286000000001</v>
      </c>
      <c r="T66" s="1">
        <v>44</v>
      </c>
      <c r="U66" s="1">
        <v>10</v>
      </c>
      <c r="V66" s="3">
        <v>1.1574074074074075E-4</v>
      </c>
      <c r="W66" s="1">
        <v>57.972439999999999</v>
      </c>
      <c r="X66" s="1">
        <v>0</v>
      </c>
      <c r="Y66" s="1">
        <v>0</v>
      </c>
      <c r="Z66" s="3">
        <v>0</v>
      </c>
      <c r="AA66" s="1">
        <v>28</v>
      </c>
      <c r="AB66" s="1">
        <v>45.691160000000004</v>
      </c>
      <c r="AC66" s="3">
        <v>4.3981481481481481E-4</v>
      </c>
      <c r="AD66" s="1">
        <v>28</v>
      </c>
      <c r="AE66" s="1">
        <v>10</v>
      </c>
      <c r="AF66" s="1">
        <v>8.0599299999999996</v>
      </c>
      <c r="AG66" s="3">
        <v>9.2592592592592588E-5</v>
      </c>
      <c r="AH66" s="1">
        <v>10</v>
      </c>
      <c r="AI66" s="1">
        <v>0</v>
      </c>
      <c r="AJ66" s="1">
        <v>2.05599</v>
      </c>
      <c r="AK66" s="3">
        <v>0</v>
      </c>
      <c r="AL66" s="1">
        <v>0</v>
      </c>
      <c r="AM66" s="1">
        <v>4.0877100000000004</v>
      </c>
      <c r="AN66" s="1">
        <v>-4.9373300000000002</v>
      </c>
      <c r="AO66" s="1">
        <v>256.90069999999997</v>
      </c>
      <c r="AP66" s="1">
        <v>20</v>
      </c>
      <c r="AQ66" s="1">
        <v>105.64304</v>
      </c>
      <c r="AR66" s="1">
        <v>9</v>
      </c>
      <c r="AS66" s="1">
        <v>46.77384</v>
      </c>
      <c r="AT66" s="1">
        <v>46.77384</v>
      </c>
      <c r="AU66" s="1">
        <v>4</v>
      </c>
      <c r="AV66" s="1">
        <v>0</v>
      </c>
      <c r="AW66" s="1">
        <v>0</v>
      </c>
      <c r="AX66" s="1">
        <v>0</v>
      </c>
      <c r="AY66" s="1">
        <v>3546.5061099999998</v>
      </c>
      <c r="AZ66" s="1">
        <v>92</v>
      </c>
      <c r="BA66" s="1">
        <v>92</v>
      </c>
      <c r="BB66" s="1">
        <v>20</v>
      </c>
      <c r="BC66" s="1">
        <v>20</v>
      </c>
      <c r="BD66" s="1">
        <v>10</v>
      </c>
      <c r="BE66" s="1">
        <v>10</v>
      </c>
      <c r="BF66" s="1">
        <v>409.31758000000002</v>
      </c>
      <c r="BG66" s="1">
        <v>152.41687999999999</v>
      </c>
      <c r="BH66" s="1">
        <v>46.77384</v>
      </c>
      <c r="BI66" s="1">
        <v>0</v>
      </c>
      <c r="BJ66" s="1">
        <v>33</v>
      </c>
      <c r="BK66" s="1">
        <v>0</v>
      </c>
      <c r="BL66" s="1">
        <v>183.81639999999999</v>
      </c>
      <c r="BM66" s="1">
        <v>0</v>
      </c>
      <c r="BN66" s="3">
        <v>0.1030787037037037</v>
      </c>
      <c r="BO66" s="1" t="s">
        <v>130</v>
      </c>
      <c r="BP66" s="1" t="s">
        <v>130</v>
      </c>
      <c r="BQ66" s="1" t="s">
        <v>130</v>
      </c>
      <c r="BR66" s="1">
        <v>12.481629999999999</v>
      </c>
      <c r="BS66" s="1">
        <v>260</v>
      </c>
      <c r="BT66" s="1">
        <v>14.76895</v>
      </c>
      <c r="BU66" s="1">
        <v>63</v>
      </c>
      <c r="BV66" s="1">
        <v>16.408760000000001</v>
      </c>
      <c r="BW66" s="1">
        <v>54.514589999999998</v>
      </c>
      <c r="BX66" s="1">
        <v>0</v>
      </c>
      <c r="BY66" s="1">
        <v>34</v>
      </c>
      <c r="BZ66" s="1">
        <v>20.109059999999999</v>
      </c>
      <c r="CA66" s="1">
        <v>49.1066</v>
      </c>
      <c r="CB66" s="1">
        <v>0</v>
      </c>
      <c r="CC66" s="1">
        <v>20</v>
      </c>
      <c r="CD66" s="1">
        <v>15.73245</v>
      </c>
      <c r="CE66" s="1">
        <v>28.734580000000001</v>
      </c>
      <c r="CF66" s="1">
        <v>0</v>
      </c>
      <c r="CG66" s="1">
        <v>9</v>
      </c>
      <c r="CH66" s="1">
        <v>12.892939999999999</v>
      </c>
      <c r="CI66" s="1">
        <v>16.450119999999998</v>
      </c>
      <c r="CJ66" s="1">
        <v>10.68676</v>
      </c>
      <c r="CK66" s="1">
        <v>3</v>
      </c>
      <c r="CL66" s="1" t="s">
        <v>130</v>
      </c>
      <c r="CM66" s="1" t="s">
        <v>130</v>
      </c>
      <c r="CN66" s="1" t="s">
        <v>130</v>
      </c>
      <c r="CO66" s="1">
        <v>0</v>
      </c>
      <c r="CP66" s="1">
        <v>12.481629999999999</v>
      </c>
      <c r="CQ66" s="1">
        <v>260</v>
      </c>
      <c r="CR66" s="1">
        <v>14.76895</v>
      </c>
      <c r="CS66" s="1">
        <v>63</v>
      </c>
      <c r="CT66" s="1">
        <v>16.408760000000001</v>
      </c>
      <c r="CU66" s="1">
        <v>54.514589999999998</v>
      </c>
      <c r="CV66" s="1">
        <v>0</v>
      </c>
      <c r="CW66" s="1">
        <v>34</v>
      </c>
      <c r="CX66" s="1">
        <v>20.109059999999999</v>
      </c>
      <c r="CY66" s="1">
        <v>49.1066</v>
      </c>
      <c r="CZ66" s="1">
        <v>0</v>
      </c>
      <c r="DA66" s="1">
        <v>20</v>
      </c>
      <c r="DB66" s="1">
        <v>15.73245</v>
      </c>
      <c r="DC66" s="1">
        <v>28.734580000000001</v>
      </c>
      <c r="DD66" s="1">
        <v>0</v>
      </c>
      <c r="DE66" s="1">
        <v>9</v>
      </c>
      <c r="DF66" s="1">
        <v>12.892939999999999</v>
      </c>
      <c r="DG66" s="1">
        <v>16.450119999999998</v>
      </c>
      <c r="DH66" s="1">
        <v>10.68676</v>
      </c>
      <c r="DI66" s="1">
        <v>3</v>
      </c>
      <c r="DJ66" s="1" t="s">
        <v>130</v>
      </c>
      <c r="DK66" s="1" t="s">
        <v>130</v>
      </c>
      <c r="DL66" s="1" t="s">
        <v>130</v>
      </c>
      <c r="DM66" s="1">
        <v>0</v>
      </c>
      <c r="DN66" s="1">
        <v>46.77384</v>
      </c>
      <c r="DO66" s="1">
        <v>60.488259999999997</v>
      </c>
      <c r="DP66" s="1">
        <v>3.6555300000000002</v>
      </c>
      <c r="DQ66" s="1">
        <v>68.088359999999994</v>
      </c>
      <c r="DR66" s="1">
        <v>20</v>
      </c>
      <c r="DS66" s="1">
        <v>3.63768</v>
      </c>
      <c r="DT66" s="1">
        <v>7.1604400000000004</v>
      </c>
      <c r="DU66" s="1">
        <v>3540.5949099999998</v>
      </c>
      <c r="DV66" s="1">
        <v>134.43666999999999</v>
      </c>
      <c r="DW66" s="1">
        <v>92</v>
      </c>
      <c r="DX66" s="1">
        <v>0</v>
      </c>
      <c r="DY66" s="3">
        <v>0.1030787037037037</v>
      </c>
      <c r="DZ66" t="str">
        <f>IF(GPS_Table[[#This Row],[Max Vel (% Max)]] &gt;= 90, "YES", "NO")</f>
        <v>NO</v>
      </c>
    </row>
    <row r="67" spans="1:140" ht="14.25" customHeight="1" x14ac:dyDescent="0.2">
      <c r="A67" s="1" t="s">
        <v>208</v>
      </c>
      <c r="B67" s="1" t="s">
        <v>136</v>
      </c>
      <c r="C67" s="1" t="s">
        <v>129</v>
      </c>
      <c r="D67" s="1">
        <v>18.900099999999998</v>
      </c>
      <c r="E67" s="1">
        <v>17.325099999999999</v>
      </c>
      <c r="F67" s="1">
        <v>91.666740000000004</v>
      </c>
      <c r="G67" s="1">
        <v>0.22264</v>
      </c>
      <c r="H67" s="1">
        <v>335.92696000000001</v>
      </c>
      <c r="I67" s="1">
        <v>5710.75828</v>
      </c>
      <c r="J67" s="3">
        <v>6.053240740740741E-3</v>
      </c>
      <c r="K67" s="3">
        <v>0.1030787037037037</v>
      </c>
      <c r="L67" s="1">
        <v>474.08807000000002</v>
      </c>
      <c r="M67" s="1">
        <v>27.887530000000002</v>
      </c>
      <c r="N67" s="1">
        <v>6.0140200000000004</v>
      </c>
      <c r="O67" s="1">
        <v>3.1936100000000001</v>
      </c>
      <c r="P67" s="1">
        <v>474.08807000000002</v>
      </c>
      <c r="Q67" s="1">
        <v>1983.0806299999999</v>
      </c>
      <c r="R67" s="3">
        <v>5.5555555555555556E-4</v>
      </c>
      <c r="S67" s="1">
        <v>205.45713000000001</v>
      </c>
      <c r="T67" s="1">
        <v>34</v>
      </c>
      <c r="U67" s="1">
        <v>9</v>
      </c>
      <c r="V67" s="3">
        <v>1.3888888888888889E-4</v>
      </c>
      <c r="W67" s="1">
        <v>68.83202</v>
      </c>
      <c r="X67" s="1">
        <v>0</v>
      </c>
      <c r="Y67" s="1">
        <v>0</v>
      </c>
      <c r="Z67" s="3">
        <v>0</v>
      </c>
      <c r="AA67" s="1">
        <v>20</v>
      </c>
      <c r="AB67" s="1">
        <v>30.818020000000001</v>
      </c>
      <c r="AC67" s="3">
        <v>4.0509259259259258E-4</v>
      </c>
      <c r="AD67" s="1">
        <v>20</v>
      </c>
      <c r="AE67" s="1">
        <v>9</v>
      </c>
      <c r="AF67" s="1">
        <v>7.0428699999999997</v>
      </c>
      <c r="AG67" s="3">
        <v>3.4722222222222222E-5</v>
      </c>
      <c r="AH67" s="1">
        <v>9</v>
      </c>
      <c r="AI67" s="1">
        <v>1</v>
      </c>
      <c r="AJ67" s="1">
        <v>1.1811</v>
      </c>
      <c r="AK67" s="3">
        <v>0</v>
      </c>
      <c r="AL67" s="1">
        <v>1</v>
      </c>
      <c r="AM67" s="1">
        <v>4.1541199999999998</v>
      </c>
      <c r="AN67" s="1">
        <v>-5.7501300000000004</v>
      </c>
      <c r="AO67" s="1">
        <v>296.45670000000001</v>
      </c>
      <c r="AP67" s="1">
        <v>17</v>
      </c>
      <c r="AQ67" s="1">
        <v>91.786959999999993</v>
      </c>
      <c r="AR67" s="1">
        <v>8</v>
      </c>
      <c r="AS67" s="1">
        <v>58.94576</v>
      </c>
      <c r="AT67" s="1">
        <v>56.671039999999998</v>
      </c>
      <c r="AU67" s="1">
        <v>5</v>
      </c>
      <c r="AV67" s="1">
        <v>0</v>
      </c>
      <c r="AW67" s="1">
        <v>2.2747199999999999</v>
      </c>
      <c r="AX67" s="1">
        <v>0</v>
      </c>
      <c r="AY67" s="1">
        <v>3489.0172400000001</v>
      </c>
      <c r="AZ67" s="1">
        <v>73</v>
      </c>
      <c r="BA67" s="1">
        <v>73</v>
      </c>
      <c r="BB67" s="1">
        <v>19</v>
      </c>
      <c r="BC67" s="1">
        <v>19</v>
      </c>
      <c r="BD67" s="1">
        <v>9</v>
      </c>
      <c r="BE67" s="1">
        <v>10</v>
      </c>
      <c r="BF67" s="1">
        <v>447.18941999999998</v>
      </c>
      <c r="BG67" s="1">
        <v>150.73272</v>
      </c>
      <c r="BH67" s="1">
        <v>58.94576</v>
      </c>
      <c r="BI67" s="1">
        <v>2.2747199999999999</v>
      </c>
      <c r="BJ67" s="1">
        <v>30</v>
      </c>
      <c r="BK67" s="1">
        <v>0</v>
      </c>
      <c r="BL67" s="1">
        <v>182.41687999999999</v>
      </c>
      <c r="BM67" s="1">
        <v>0</v>
      </c>
      <c r="BN67" s="3">
        <v>0.1030787037037037</v>
      </c>
      <c r="BO67" s="1" t="s">
        <v>130</v>
      </c>
      <c r="BP67" s="1" t="s">
        <v>130</v>
      </c>
      <c r="BQ67" s="1" t="s">
        <v>130</v>
      </c>
      <c r="BR67" s="1">
        <v>14.52056</v>
      </c>
      <c r="BS67" s="1">
        <v>216</v>
      </c>
      <c r="BT67" s="1">
        <v>16.709949999999999</v>
      </c>
      <c r="BU67" s="1">
        <v>52</v>
      </c>
      <c r="BV67" s="1">
        <v>20.387650000000001</v>
      </c>
      <c r="BW67" s="1">
        <v>48.239269999999998</v>
      </c>
      <c r="BX67" s="1">
        <v>0</v>
      </c>
      <c r="BY67" s="1">
        <v>30</v>
      </c>
      <c r="BZ67" s="1">
        <v>23.781130000000001</v>
      </c>
      <c r="CA67" s="1">
        <v>41.287239999999997</v>
      </c>
      <c r="CB67" s="1">
        <v>3.8769100000000001</v>
      </c>
      <c r="CC67" s="1">
        <v>19</v>
      </c>
      <c r="CD67" s="1">
        <v>19.84911</v>
      </c>
      <c r="CE67" s="1">
        <v>26.966270000000002</v>
      </c>
      <c r="CF67" s="1">
        <v>7.2748200000000001</v>
      </c>
      <c r="CG67" s="1">
        <v>7</v>
      </c>
      <c r="CH67" s="1">
        <v>10.53586</v>
      </c>
      <c r="CI67" s="1">
        <v>16.334250000000001</v>
      </c>
      <c r="CJ67" s="1">
        <v>0</v>
      </c>
      <c r="CK67" s="1">
        <v>4</v>
      </c>
      <c r="CL67" s="1" t="s">
        <v>130</v>
      </c>
      <c r="CM67" s="1">
        <v>0</v>
      </c>
      <c r="CN67" s="1">
        <v>0</v>
      </c>
      <c r="CO67" s="1">
        <v>0</v>
      </c>
      <c r="CP67" s="1">
        <v>14.52056</v>
      </c>
      <c r="CQ67" s="1">
        <v>216</v>
      </c>
      <c r="CR67" s="1">
        <v>16.709949999999999</v>
      </c>
      <c r="CS67" s="1">
        <v>52</v>
      </c>
      <c r="CT67" s="1">
        <v>20.387650000000001</v>
      </c>
      <c r="CU67" s="1">
        <v>48.239269999999998</v>
      </c>
      <c r="CV67" s="1">
        <v>0</v>
      </c>
      <c r="CW67" s="1">
        <v>30</v>
      </c>
      <c r="CX67" s="1">
        <v>23.781130000000001</v>
      </c>
      <c r="CY67" s="1">
        <v>41.287239999999997</v>
      </c>
      <c r="CZ67" s="1">
        <v>3.8769100000000001</v>
      </c>
      <c r="DA67" s="1">
        <v>19</v>
      </c>
      <c r="DB67" s="1">
        <v>19.84911</v>
      </c>
      <c r="DC67" s="1">
        <v>26.966270000000002</v>
      </c>
      <c r="DD67" s="1">
        <v>7.2748200000000001</v>
      </c>
      <c r="DE67" s="1">
        <v>7</v>
      </c>
      <c r="DF67" s="1">
        <v>10.53586</v>
      </c>
      <c r="DG67" s="1">
        <v>16.334250000000001</v>
      </c>
      <c r="DH67" s="1">
        <v>0</v>
      </c>
      <c r="DI67" s="1">
        <v>4</v>
      </c>
      <c r="DJ67" s="1" t="s">
        <v>130</v>
      </c>
      <c r="DK67" s="1">
        <v>0</v>
      </c>
      <c r="DL67" s="1">
        <v>0</v>
      </c>
      <c r="DM67" s="1">
        <v>0</v>
      </c>
      <c r="DN67" s="1">
        <v>58.94576</v>
      </c>
      <c r="DO67" s="1">
        <v>66.190160000000006</v>
      </c>
      <c r="DP67" s="1">
        <v>3.4725299999999999</v>
      </c>
      <c r="DQ67" s="1">
        <v>77.055989999999994</v>
      </c>
      <c r="DR67" s="1">
        <v>19</v>
      </c>
      <c r="DS67" s="1">
        <v>4.2186300000000001</v>
      </c>
      <c r="DT67" s="1">
        <v>7.8306500000000003</v>
      </c>
      <c r="DU67" s="1">
        <v>3483.1583700000001</v>
      </c>
      <c r="DV67" s="1">
        <v>136.97833</v>
      </c>
      <c r="DW67" s="1">
        <v>73</v>
      </c>
      <c r="DX67" s="1">
        <v>0</v>
      </c>
      <c r="DY67" s="3">
        <v>0.1030787037037037</v>
      </c>
      <c r="DZ67" t="str">
        <f>IF(GPS_Table[[#This Row],[Max Vel (% Max)]] &gt;= 90, "YES", "NO")</f>
        <v>YES</v>
      </c>
    </row>
    <row r="68" spans="1:140" ht="14.25" customHeight="1" x14ac:dyDescent="0.2">
      <c r="A68" s="1" t="s">
        <v>209</v>
      </c>
      <c r="B68" s="1" t="s">
        <v>136</v>
      </c>
      <c r="C68" s="1" t="s">
        <v>129</v>
      </c>
      <c r="D68" s="1">
        <v>19.7</v>
      </c>
      <c r="E68" s="1">
        <v>16.4008</v>
      </c>
      <c r="F68" s="1">
        <v>83.252769999999998</v>
      </c>
      <c r="G68" s="1">
        <v>0.27124999999999999</v>
      </c>
      <c r="H68" s="1">
        <v>343.86649999999997</v>
      </c>
      <c r="I68" s="1">
        <v>5845.7304999999997</v>
      </c>
      <c r="J68" s="3">
        <v>6.053240740740741E-3</v>
      </c>
      <c r="K68" s="3">
        <v>0.1030787037037037</v>
      </c>
      <c r="L68" s="1">
        <v>478.82715000000002</v>
      </c>
      <c r="M68" s="1">
        <v>28.1663</v>
      </c>
      <c r="N68" s="1">
        <v>5.0556700000000001</v>
      </c>
      <c r="O68" s="1">
        <v>3.22553</v>
      </c>
      <c r="P68" s="1">
        <v>478.82715000000002</v>
      </c>
      <c r="Q68" s="1">
        <v>2415.98972</v>
      </c>
      <c r="R68" s="3">
        <v>8.7962962962962962E-4</v>
      </c>
      <c r="S68" s="1">
        <v>299.70472000000001</v>
      </c>
      <c r="T68" s="1">
        <v>45</v>
      </c>
      <c r="U68" s="1">
        <v>6</v>
      </c>
      <c r="V68" s="3">
        <v>9.2592592592592588E-5</v>
      </c>
      <c r="W68" s="1">
        <v>44.11636</v>
      </c>
      <c r="X68" s="1">
        <v>0</v>
      </c>
      <c r="Y68" s="1">
        <v>2.38408</v>
      </c>
      <c r="Z68" s="3">
        <v>1.1574074074074073E-5</v>
      </c>
      <c r="AA68" s="1">
        <v>30</v>
      </c>
      <c r="AB68" s="1">
        <v>43.56955</v>
      </c>
      <c r="AC68" s="3">
        <v>4.3981481481481481E-4</v>
      </c>
      <c r="AD68" s="1">
        <v>30</v>
      </c>
      <c r="AE68" s="1">
        <v>2</v>
      </c>
      <c r="AF68" s="1">
        <v>0.88583000000000001</v>
      </c>
      <c r="AG68" s="3">
        <v>1.1574074074074073E-5</v>
      </c>
      <c r="AH68" s="1">
        <v>2</v>
      </c>
      <c r="AI68" s="1">
        <v>0</v>
      </c>
      <c r="AJ68" s="1">
        <v>0.37182999999999999</v>
      </c>
      <c r="AK68" s="3">
        <v>0</v>
      </c>
      <c r="AL68" s="1">
        <v>0</v>
      </c>
      <c r="AM68" s="1">
        <v>4.2182300000000001</v>
      </c>
      <c r="AN68" s="1">
        <v>-4.3866500000000004</v>
      </c>
      <c r="AO68" s="1">
        <v>184.80971</v>
      </c>
      <c r="AP68" s="1">
        <v>13</v>
      </c>
      <c r="AQ68" s="1">
        <v>39.107610000000001</v>
      </c>
      <c r="AR68" s="1">
        <v>5</v>
      </c>
      <c r="AS68" s="1">
        <v>9.3832000000000004</v>
      </c>
      <c r="AT68" s="1">
        <v>9.3832000000000004</v>
      </c>
      <c r="AU68" s="1">
        <v>1</v>
      </c>
      <c r="AV68" s="1">
        <v>0</v>
      </c>
      <c r="AW68" s="1">
        <v>0</v>
      </c>
      <c r="AX68" s="1">
        <v>0</v>
      </c>
      <c r="AY68" s="1">
        <v>3526.7891199999999</v>
      </c>
      <c r="AZ68" s="1">
        <v>83</v>
      </c>
      <c r="BA68" s="1">
        <v>83</v>
      </c>
      <c r="BB68" s="1">
        <v>8</v>
      </c>
      <c r="BC68" s="1">
        <v>8</v>
      </c>
      <c r="BD68" s="1">
        <v>6</v>
      </c>
      <c r="BE68" s="1">
        <v>2</v>
      </c>
      <c r="BF68" s="1">
        <v>233.30052000000001</v>
      </c>
      <c r="BG68" s="1">
        <v>48.490810000000003</v>
      </c>
      <c r="BH68" s="1">
        <v>9.3832000000000004</v>
      </c>
      <c r="BI68" s="1">
        <v>0</v>
      </c>
      <c r="BJ68" s="1">
        <v>19</v>
      </c>
      <c r="BK68" s="1">
        <v>0</v>
      </c>
      <c r="BL68" s="1">
        <v>198.57861</v>
      </c>
      <c r="BM68" s="1">
        <v>0</v>
      </c>
      <c r="BN68" s="3">
        <v>0.1030787037037037</v>
      </c>
      <c r="BO68" s="1" t="s">
        <v>130</v>
      </c>
      <c r="BP68" s="1" t="s">
        <v>130</v>
      </c>
      <c r="BQ68" s="1" t="s">
        <v>130</v>
      </c>
      <c r="BR68" s="1">
        <v>10.62307</v>
      </c>
      <c r="BS68" s="1">
        <v>288</v>
      </c>
      <c r="BT68" s="1">
        <v>13.70468</v>
      </c>
      <c r="BU68" s="1">
        <v>57</v>
      </c>
      <c r="BV68" s="1">
        <v>17.58981</v>
      </c>
      <c r="BW68" s="1">
        <v>49.423789999999997</v>
      </c>
      <c r="BX68" s="1">
        <v>0</v>
      </c>
      <c r="BY68" s="1">
        <v>22</v>
      </c>
      <c r="BZ68" s="1">
        <v>15.877700000000001</v>
      </c>
      <c r="CA68" s="1">
        <v>30.882560000000002</v>
      </c>
      <c r="CB68" s="1">
        <v>0</v>
      </c>
      <c r="CC68" s="1">
        <v>14</v>
      </c>
      <c r="CD68" s="1">
        <v>8.5953400000000002</v>
      </c>
      <c r="CE68" s="1">
        <v>17.637789999999999</v>
      </c>
      <c r="CF68" s="1">
        <v>2.8336199999999998</v>
      </c>
      <c r="CG68" s="1">
        <v>5</v>
      </c>
      <c r="CH68" s="1">
        <v>8.6154799999999998</v>
      </c>
      <c r="CI68" s="1">
        <v>8.6154799999999998</v>
      </c>
      <c r="CJ68" s="1">
        <v>8.6154799999999998</v>
      </c>
      <c r="CK68" s="1">
        <v>1</v>
      </c>
      <c r="CL68" s="1" t="s">
        <v>130</v>
      </c>
      <c r="CM68" s="1" t="s">
        <v>130</v>
      </c>
      <c r="CN68" s="1" t="s">
        <v>130</v>
      </c>
      <c r="CO68" s="1">
        <v>0</v>
      </c>
      <c r="CP68" s="1">
        <v>10.62307</v>
      </c>
      <c r="CQ68" s="1">
        <v>288</v>
      </c>
      <c r="CR68" s="1">
        <v>13.70468</v>
      </c>
      <c r="CS68" s="1">
        <v>57</v>
      </c>
      <c r="CT68" s="1">
        <v>17.58981</v>
      </c>
      <c r="CU68" s="1">
        <v>49.423789999999997</v>
      </c>
      <c r="CV68" s="1">
        <v>0</v>
      </c>
      <c r="CW68" s="1">
        <v>22</v>
      </c>
      <c r="CX68" s="1">
        <v>15.877700000000001</v>
      </c>
      <c r="CY68" s="1">
        <v>30.882560000000002</v>
      </c>
      <c r="CZ68" s="1">
        <v>0</v>
      </c>
      <c r="DA68" s="1">
        <v>14</v>
      </c>
      <c r="DB68" s="1">
        <v>8.5953400000000002</v>
      </c>
      <c r="DC68" s="1">
        <v>17.637789999999999</v>
      </c>
      <c r="DD68" s="1">
        <v>2.8336199999999998</v>
      </c>
      <c r="DE68" s="1">
        <v>5</v>
      </c>
      <c r="DF68" s="1">
        <v>8.6154799999999998</v>
      </c>
      <c r="DG68" s="1">
        <v>8.6154799999999998</v>
      </c>
      <c r="DH68" s="1">
        <v>8.6154799999999998</v>
      </c>
      <c r="DI68" s="1">
        <v>1</v>
      </c>
      <c r="DJ68" s="1" t="s">
        <v>130</v>
      </c>
      <c r="DK68" s="1" t="s">
        <v>130</v>
      </c>
      <c r="DL68" s="1" t="s">
        <v>130</v>
      </c>
      <c r="DM68" s="1">
        <v>0</v>
      </c>
      <c r="DN68" s="1">
        <v>9.3832000000000004</v>
      </c>
      <c r="DO68" s="1">
        <v>32.483289999999997</v>
      </c>
      <c r="DP68" s="1">
        <v>4.1329099999999999</v>
      </c>
      <c r="DQ68" s="1">
        <v>47.758099999999999</v>
      </c>
      <c r="DR68" s="1">
        <v>8</v>
      </c>
      <c r="DS68" s="1">
        <v>3.7591899999999998</v>
      </c>
      <c r="DT68" s="1">
        <v>3.9909599999999998</v>
      </c>
      <c r="DU68" s="1">
        <v>3517.6618400000002</v>
      </c>
      <c r="DV68" s="1">
        <v>133.15833000000001</v>
      </c>
      <c r="DW68" s="1">
        <v>83</v>
      </c>
      <c r="DX68" s="1">
        <v>0</v>
      </c>
      <c r="DY68" s="3">
        <v>0.1030787037037037</v>
      </c>
      <c r="DZ68" t="str">
        <f>IF(GPS_Table[[#This Row],[Max Vel (% Max)]] &gt;= 90, "YES", "NO")</f>
        <v>NO</v>
      </c>
    </row>
    <row r="69" spans="1:140" ht="14.25" customHeight="1" x14ac:dyDescent="0.2">
      <c r="A69" s="1" t="s">
        <v>210</v>
      </c>
      <c r="B69" s="1" t="s">
        <v>133</v>
      </c>
      <c r="C69" s="1" t="s">
        <v>129</v>
      </c>
      <c r="D69" s="1">
        <v>20.5</v>
      </c>
      <c r="E69" s="1">
        <v>15.39597</v>
      </c>
      <c r="F69" s="1">
        <v>75.102310000000003</v>
      </c>
      <c r="G69" s="1">
        <v>0.2397</v>
      </c>
      <c r="H69" s="1">
        <v>312.78258</v>
      </c>
      <c r="I69" s="1">
        <v>5004.5212199999996</v>
      </c>
      <c r="J69" s="3">
        <v>6.4351851851851853E-3</v>
      </c>
      <c r="K69" s="3">
        <v>0.1030787037037037</v>
      </c>
      <c r="L69" s="1">
        <v>397.92273999999998</v>
      </c>
      <c r="M69" s="1">
        <v>24.870170000000002</v>
      </c>
      <c r="N69" s="1">
        <v>4.8804600000000002</v>
      </c>
      <c r="O69" s="1">
        <v>2.6805300000000001</v>
      </c>
      <c r="P69" s="1">
        <v>397.92273999999998</v>
      </c>
      <c r="Q69" s="1">
        <v>2135.0126399999999</v>
      </c>
      <c r="R69" s="3">
        <v>6.3657407407407413E-4</v>
      </c>
      <c r="S69" s="1">
        <v>211.60324</v>
      </c>
      <c r="T69" s="1">
        <v>38</v>
      </c>
      <c r="U69" s="1">
        <v>4</v>
      </c>
      <c r="V69" s="3">
        <v>1.0416666666666667E-4</v>
      </c>
      <c r="W69" s="1">
        <v>48.337710000000001</v>
      </c>
      <c r="X69" s="1">
        <v>0</v>
      </c>
      <c r="Y69" s="1">
        <v>0</v>
      </c>
      <c r="Z69" s="3">
        <v>0</v>
      </c>
      <c r="AA69" s="1">
        <v>28</v>
      </c>
      <c r="AB69" s="1">
        <v>33.869199999999999</v>
      </c>
      <c r="AC69" s="3">
        <v>3.8194444444444446E-4</v>
      </c>
      <c r="AD69" s="1">
        <v>28</v>
      </c>
      <c r="AE69" s="1">
        <v>3</v>
      </c>
      <c r="AF69" s="1">
        <v>4.8009599999999999</v>
      </c>
      <c r="AG69" s="3">
        <v>3.4722222222222222E-5</v>
      </c>
      <c r="AH69" s="1">
        <v>3</v>
      </c>
      <c r="AI69" s="1">
        <v>1</v>
      </c>
      <c r="AJ69" s="1">
        <v>1.37795</v>
      </c>
      <c r="AK69" s="3">
        <v>0</v>
      </c>
      <c r="AL69" s="1">
        <v>1</v>
      </c>
      <c r="AM69" s="1">
        <v>4.09666</v>
      </c>
      <c r="AN69" s="1">
        <v>-5.4071800000000003</v>
      </c>
      <c r="AO69" s="1">
        <v>115.32152000000001</v>
      </c>
      <c r="AP69" s="1">
        <v>11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2467.1852699999999</v>
      </c>
      <c r="AZ69" s="1">
        <v>74</v>
      </c>
      <c r="BA69" s="1">
        <v>74</v>
      </c>
      <c r="BB69" s="1">
        <v>8</v>
      </c>
      <c r="BC69" s="1">
        <v>8</v>
      </c>
      <c r="BD69" s="1">
        <v>4</v>
      </c>
      <c r="BE69" s="1">
        <v>4</v>
      </c>
      <c r="BF69" s="1">
        <v>115.32152000000001</v>
      </c>
      <c r="BG69" s="1">
        <v>0</v>
      </c>
      <c r="BH69" s="1">
        <v>0</v>
      </c>
      <c r="BI69" s="1">
        <v>0</v>
      </c>
      <c r="BJ69" s="1">
        <v>11</v>
      </c>
      <c r="BK69" s="1">
        <v>0</v>
      </c>
      <c r="BL69" s="1">
        <v>181.89318</v>
      </c>
      <c r="BM69" s="1">
        <v>0</v>
      </c>
      <c r="BN69" s="3">
        <v>0.1030787037037037</v>
      </c>
      <c r="BO69" s="1" t="s">
        <v>130</v>
      </c>
      <c r="BP69" s="1" t="s">
        <v>130</v>
      </c>
      <c r="BQ69" s="1" t="s">
        <v>130</v>
      </c>
      <c r="BR69" s="1">
        <v>12.52913</v>
      </c>
      <c r="BS69" s="1">
        <v>176</v>
      </c>
      <c r="BT69" s="1">
        <v>12.300660000000001</v>
      </c>
      <c r="BU69" s="1">
        <v>34</v>
      </c>
      <c r="BV69" s="1">
        <v>13.484019999999999</v>
      </c>
      <c r="BW69" s="1">
        <v>31.108969999999999</v>
      </c>
      <c r="BX69" s="1">
        <v>0</v>
      </c>
      <c r="BY69" s="1">
        <v>17</v>
      </c>
      <c r="BZ69" s="1">
        <v>9.8480899999999991</v>
      </c>
      <c r="CA69" s="1">
        <v>22.564589999999999</v>
      </c>
      <c r="CB69" s="1">
        <v>2.20031</v>
      </c>
      <c r="CC69" s="1">
        <v>11</v>
      </c>
      <c r="CD69" s="1" t="s">
        <v>130</v>
      </c>
      <c r="CE69" s="1" t="s">
        <v>130</v>
      </c>
      <c r="CF69" s="1" t="s">
        <v>130</v>
      </c>
      <c r="CG69" s="1">
        <v>0</v>
      </c>
      <c r="CH69" s="1" t="s">
        <v>130</v>
      </c>
      <c r="CI69" s="1" t="s">
        <v>130</v>
      </c>
      <c r="CJ69" s="1" t="s">
        <v>130</v>
      </c>
      <c r="CK69" s="1">
        <v>0</v>
      </c>
      <c r="CL69" s="1" t="s">
        <v>130</v>
      </c>
      <c r="CM69" s="1" t="s">
        <v>130</v>
      </c>
      <c r="CN69" s="1" t="s">
        <v>130</v>
      </c>
      <c r="CO69" s="1">
        <v>0</v>
      </c>
      <c r="CP69" s="1">
        <v>12.52913</v>
      </c>
      <c r="CQ69" s="1">
        <v>176</v>
      </c>
      <c r="CR69" s="1">
        <v>12.300660000000001</v>
      </c>
      <c r="CS69" s="1">
        <v>34</v>
      </c>
      <c r="CT69" s="1">
        <v>13.484019999999999</v>
      </c>
      <c r="CU69" s="1">
        <v>31.108969999999999</v>
      </c>
      <c r="CV69" s="1">
        <v>0</v>
      </c>
      <c r="CW69" s="1">
        <v>17</v>
      </c>
      <c r="CX69" s="1">
        <v>9.8480899999999991</v>
      </c>
      <c r="CY69" s="1">
        <v>22.564589999999999</v>
      </c>
      <c r="CZ69" s="1">
        <v>2.20031</v>
      </c>
      <c r="DA69" s="1">
        <v>11</v>
      </c>
      <c r="DB69" s="1" t="s">
        <v>130</v>
      </c>
      <c r="DC69" s="1" t="s">
        <v>130</v>
      </c>
      <c r="DD69" s="1" t="s">
        <v>130</v>
      </c>
      <c r="DE69" s="1">
        <v>0</v>
      </c>
      <c r="DF69" s="1" t="s">
        <v>130</v>
      </c>
      <c r="DG69" s="1" t="s">
        <v>130</v>
      </c>
      <c r="DH69" s="1" t="s">
        <v>130</v>
      </c>
      <c r="DI69" s="1">
        <v>0</v>
      </c>
      <c r="DJ69" s="1" t="s">
        <v>130</v>
      </c>
      <c r="DK69" s="1" t="s">
        <v>130</v>
      </c>
      <c r="DL69" s="1" t="s">
        <v>130</v>
      </c>
      <c r="DM69" s="1">
        <v>0</v>
      </c>
      <c r="DN69" s="1">
        <v>0</v>
      </c>
      <c r="DO69" s="1">
        <v>23.294899999999998</v>
      </c>
      <c r="DP69" s="1">
        <v>4.2661699999999998</v>
      </c>
      <c r="DQ69" s="1">
        <v>54.516620000000003</v>
      </c>
      <c r="DR69" s="1">
        <v>8</v>
      </c>
      <c r="DS69" s="1">
        <v>2.6387</v>
      </c>
      <c r="DT69" s="1">
        <v>2.3043499999999999</v>
      </c>
      <c r="DU69" s="1">
        <v>2464.7965800000002</v>
      </c>
      <c r="DV69" s="1">
        <v>134.905</v>
      </c>
      <c r="DW69" s="1">
        <v>74</v>
      </c>
      <c r="DX69" s="1">
        <v>0</v>
      </c>
      <c r="DY69" s="3">
        <v>0.1030787037037037</v>
      </c>
      <c r="DZ69" t="str">
        <f>IF(GPS_Table[[#This Row],[Max Vel (% Max)]] &gt;= 90, "YES", "NO")</f>
        <v>NO</v>
      </c>
    </row>
    <row r="70" spans="1:140" ht="14.25" customHeight="1" x14ac:dyDescent="0.2">
      <c r="A70" s="1" t="s">
        <v>211</v>
      </c>
      <c r="B70" s="1" t="s">
        <v>133</v>
      </c>
      <c r="C70" s="1" t="s">
        <v>129</v>
      </c>
      <c r="D70" s="1">
        <v>21.400099999999998</v>
      </c>
      <c r="E70" s="1">
        <v>19.80575</v>
      </c>
      <c r="F70" s="1">
        <v>92.549790000000002</v>
      </c>
      <c r="G70" s="1">
        <v>0.25436999999999999</v>
      </c>
      <c r="H70" s="1">
        <v>397.20868999999999</v>
      </c>
      <c r="I70" s="1">
        <v>6355.3389900000002</v>
      </c>
      <c r="J70" s="3">
        <v>6.4351851851851853E-3</v>
      </c>
      <c r="K70" s="3">
        <v>0.1030787037037037</v>
      </c>
      <c r="L70" s="1">
        <v>487.67748</v>
      </c>
      <c r="M70" s="1">
        <v>30.479839999999999</v>
      </c>
      <c r="N70" s="1">
        <v>5.4424099999999997</v>
      </c>
      <c r="O70" s="1">
        <v>3.2851499999999998</v>
      </c>
      <c r="P70" s="1">
        <v>487.67748</v>
      </c>
      <c r="Q70" s="1">
        <v>2265.6604200000002</v>
      </c>
      <c r="R70" s="3">
        <v>9.2592592592592596E-4</v>
      </c>
      <c r="S70" s="1">
        <v>263.77953000000002</v>
      </c>
      <c r="T70" s="1">
        <v>34</v>
      </c>
      <c r="U70" s="1">
        <v>33</v>
      </c>
      <c r="V70" s="3">
        <v>4.3981481481481481E-4</v>
      </c>
      <c r="W70" s="1">
        <v>150.09843000000001</v>
      </c>
      <c r="X70" s="1">
        <v>0</v>
      </c>
      <c r="Y70" s="1">
        <v>3.9041999999999999</v>
      </c>
      <c r="Z70" s="3">
        <v>0</v>
      </c>
      <c r="AA70" s="1">
        <v>27</v>
      </c>
      <c r="AB70" s="1">
        <v>77.02319</v>
      </c>
      <c r="AC70" s="3">
        <v>4.861111111111111E-4</v>
      </c>
      <c r="AD70" s="1">
        <v>27</v>
      </c>
      <c r="AE70" s="1">
        <v>14</v>
      </c>
      <c r="AF70" s="1">
        <v>18.38364</v>
      </c>
      <c r="AG70" s="3">
        <v>1.8518518518518518E-4</v>
      </c>
      <c r="AH70" s="1">
        <v>14</v>
      </c>
      <c r="AI70" s="1">
        <v>6</v>
      </c>
      <c r="AJ70" s="1">
        <v>9.12073</v>
      </c>
      <c r="AK70" s="3">
        <v>2.3148148148148147E-5</v>
      </c>
      <c r="AL70" s="1">
        <v>6</v>
      </c>
      <c r="AM70" s="1">
        <v>4.7416999999999998</v>
      </c>
      <c r="AN70" s="1">
        <v>-6.1627299999999998</v>
      </c>
      <c r="AO70" s="1">
        <v>329.71348</v>
      </c>
      <c r="AP70" s="1">
        <v>27</v>
      </c>
      <c r="AQ70" s="1">
        <v>62.084429999999998</v>
      </c>
      <c r="AR70" s="1">
        <v>7</v>
      </c>
      <c r="AS70" s="1">
        <v>92.224410000000006</v>
      </c>
      <c r="AT70" s="1">
        <v>78.958879999999994</v>
      </c>
      <c r="AU70" s="1">
        <v>6</v>
      </c>
      <c r="AV70" s="1">
        <v>1</v>
      </c>
      <c r="AW70" s="1">
        <v>13.26553</v>
      </c>
      <c r="AX70" s="1">
        <v>1</v>
      </c>
      <c r="AY70" s="1">
        <v>3317.2374799999998</v>
      </c>
      <c r="AZ70" s="1">
        <v>114</v>
      </c>
      <c r="BA70" s="1">
        <v>114</v>
      </c>
      <c r="BB70" s="1">
        <v>53</v>
      </c>
      <c r="BC70" s="1">
        <v>53</v>
      </c>
      <c r="BD70" s="1">
        <v>33</v>
      </c>
      <c r="BE70" s="1">
        <v>20</v>
      </c>
      <c r="BF70" s="1">
        <v>484.02231999999998</v>
      </c>
      <c r="BG70" s="1">
        <v>154.30884</v>
      </c>
      <c r="BH70" s="1">
        <v>92.224410000000006</v>
      </c>
      <c r="BI70" s="1">
        <v>13.26553</v>
      </c>
      <c r="BJ70" s="1">
        <v>41</v>
      </c>
      <c r="BK70" s="1">
        <v>0</v>
      </c>
      <c r="BL70" s="1">
        <v>213.61359999999999</v>
      </c>
      <c r="BM70" s="1">
        <v>1</v>
      </c>
      <c r="BN70" s="3">
        <v>0.1030787037037037</v>
      </c>
      <c r="BO70" s="1" t="s">
        <v>130</v>
      </c>
      <c r="BP70" s="1" t="s">
        <v>130</v>
      </c>
      <c r="BQ70" s="1" t="s">
        <v>130</v>
      </c>
      <c r="BR70" s="1">
        <v>16.358409999999999</v>
      </c>
      <c r="BS70" s="1">
        <v>203</v>
      </c>
      <c r="BT70" s="1">
        <v>16.825939999999999</v>
      </c>
      <c r="BU70" s="1">
        <v>59</v>
      </c>
      <c r="BV70" s="1">
        <v>18.089189999999999</v>
      </c>
      <c r="BW70" s="1">
        <v>56.867890000000003</v>
      </c>
      <c r="BX70" s="1">
        <v>1.6195900000000001</v>
      </c>
      <c r="BY70" s="1">
        <v>38</v>
      </c>
      <c r="BZ70" s="1">
        <v>17.92071</v>
      </c>
      <c r="CA70" s="1">
        <v>48.78501</v>
      </c>
      <c r="CB70" s="1">
        <v>3.3119800000000001</v>
      </c>
      <c r="CC70" s="1">
        <v>26</v>
      </c>
      <c r="CD70" s="1">
        <v>21.450839999999999</v>
      </c>
      <c r="CE70" s="1">
        <v>34.88409</v>
      </c>
      <c r="CF70" s="1">
        <v>0</v>
      </c>
      <c r="CG70" s="1">
        <v>7</v>
      </c>
      <c r="CH70" s="1">
        <v>14.54139</v>
      </c>
      <c r="CI70" s="1">
        <v>27.774529999999999</v>
      </c>
      <c r="CJ70" s="1">
        <v>5.9766899999999996</v>
      </c>
      <c r="CK70" s="1">
        <v>5</v>
      </c>
      <c r="CL70" s="1">
        <v>11.361520000000001</v>
      </c>
      <c r="CM70" s="1">
        <v>11.361520000000001</v>
      </c>
      <c r="CN70" s="1">
        <v>11.361520000000001</v>
      </c>
      <c r="CO70" s="1">
        <v>1</v>
      </c>
      <c r="CP70" s="1">
        <v>16.358409999999999</v>
      </c>
      <c r="CQ70" s="1">
        <v>203</v>
      </c>
      <c r="CR70" s="1">
        <v>16.825939999999999</v>
      </c>
      <c r="CS70" s="1">
        <v>59</v>
      </c>
      <c r="CT70" s="1">
        <v>18.089189999999999</v>
      </c>
      <c r="CU70" s="1">
        <v>56.867890000000003</v>
      </c>
      <c r="CV70" s="1">
        <v>1.6195900000000001</v>
      </c>
      <c r="CW70" s="1">
        <v>38</v>
      </c>
      <c r="CX70" s="1">
        <v>17.92071</v>
      </c>
      <c r="CY70" s="1">
        <v>48.78501</v>
      </c>
      <c r="CZ70" s="1">
        <v>3.3119800000000001</v>
      </c>
      <c r="DA70" s="1">
        <v>26</v>
      </c>
      <c r="DB70" s="1">
        <v>21.450839999999999</v>
      </c>
      <c r="DC70" s="1">
        <v>34.88409</v>
      </c>
      <c r="DD70" s="1">
        <v>0</v>
      </c>
      <c r="DE70" s="1">
        <v>7</v>
      </c>
      <c r="DF70" s="1">
        <v>14.54139</v>
      </c>
      <c r="DG70" s="1">
        <v>27.774529999999999</v>
      </c>
      <c r="DH70" s="1">
        <v>5.9766899999999996</v>
      </c>
      <c r="DI70" s="1">
        <v>5</v>
      </c>
      <c r="DJ70" s="1">
        <v>11.361520000000001</v>
      </c>
      <c r="DK70" s="1">
        <v>11.361520000000001</v>
      </c>
      <c r="DL70" s="1">
        <v>11.361520000000001</v>
      </c>
      <c r="DM70" s="1">
        <v>1</v>
      </c>
      <c r="DN70" s="1">
        <v>92.224410000000006</v>
      </c>
      <c r="DO70" s="1">
        <v>113.4563</v>
      </c>
      <c r="DP70" s="1">
        <v>3.5649700000000002</v>
      </c>
      <c r="DQ70" s="1">
        <v>181.50700000000001</v>
      </c>
      <c r="DR70" s="1">
        <v>53</v>
      </c>
      <c r="DS70" s="1">
        <v>2.8707500000000001</v>
      </c>
      <c r="DT70" s="1">
        <v>7.6159999999999997</v>
      </c>
      <c r="DU70" s="1">
        <v>3312.3031599999999</v>
      </c>
      <c r="DV70" s="1">
        <v>133.94667000000001</v>
      </c>
      <c r="DW70" s="1">
        <v>114</v>
      </c>
      <c r="DX70" s="1">
        <v>0</v>
      </c>
      <c r="DY70" s="3">
        <v>0.1030787037037037</v>
      </c>
      <c r="DZ70" t="str">
        <f>IF(GPS_Table[[#This Row],[Max Vel (% Max)]] &gt;= 90, "YES", "NO")</f>
        <v>YES</v>
      </c>
    </row>
    <row r="71" spans="1:140" ht="14.25" customHeight="1" x14ac:dyDescent="0.2">
      <c r="A71" s="1" t="s">
        <v>212</v>
      </c>
      <c r="B71" s="1" t="s">
        <v>133</v>
      </c>
      <c r="C71" s="1" t="s">
        <v>129</v>
      </c>
      <c r="D71" s="1">
        <v>22.5</v>
      </c>
      <c r="E71" s="1">
        <v>19.314109999999999</v>
      </c>
      <c r="F71" s="1">
        <v>85.840469999999996</v>
      </c>
      <c r="G71" s="1">
        <v>0.25370999999999999</v>
      </c>
      <c r="H71" s="1">
        <v>397.75303000000002</v>
      </c>
      <c r="I71" s="1">
        <v>6364.0484500000002</v>
      </c>
      <c r="J71" s="3">
        <v>6.4351851851851853E-3</v>
      </c>
      <c r="K71" s="3">
        <v>0.1030787037037037</v>
      </c>
      <c r="L71" s="1">
        <v>556.93912999999998</v>
      </c>
      <c r="M71" s="1">
        <v>34.808700000000002</v>
      </c>
      <c r="N71" s="1">
        <v>7.8868900000000002</v>
      </c>
      <c r="O71" s="1">
        <v>3.7517200000000002</v>
      </c>
      <c r="P71" s="1">
        <v>556.93912999999998</v>
      </c>
      <c r="Q71" s="1">
        <v>2259.7849200000001</v>
      </c>
      <c r="R71" s="3">
        <v>1.0416666666666667E-3</v>
      </c>
      <c r="S71" s="1">
        <v>257.38189</v>
      </c>
      <c r="T71" s="1">
        <v>40</v>
      </c>
      <c r="U71" s="1">
        <v>30</v>
      </c>
      <c r="V71" s="3">
        <v>3.5879629629629629E-4</v>
      </c>
      <c r="W71" s="1">
        <v>176.83726999999999</v>
      </c>
      <c r="X71" s="1">
        <v>0</v>
      </c>
      <c r="Y71" s="1">
        <v>1.66229</v>
      </c>
      <c r="Z71" s="3">
        <v>0</v>
      </c>
      <c r="AA71" s="1">
        <v>38</v>
      </c>
      <c r="AB71" s="1">
        <v>83.584860000000006</v>
      </c>
      <c r="AC71" s="3">
        <v>5.0925925925925921E-4</v>
      </c>
      <c r="AD71" s="1">
        <v>38</v>
      </c>
      <c r="AE71" s="1">
        <v>9</v>
      </c>
      <c r="AF71" s="1">
        <v>14.8294</v>
      </c>
      <c r="AG71" s="3">
        <v>8.1018518518518516E-5</v>
      </c>
      <c r="AH71" s="1">
        <v>9</v>
      </c>
      <c r="AI71" s="1">
        <v>2</v>
      </c>
      <c r="AJ71" s="1">
        <v>6.10236</v>
      </c>
      <c r="AK71" s="3">
        <v>1.1574074074074073E-5</v>
      </c>
      <c r="AL71" s="1">
        <v>2</v>
      </c>
      <c r="AM71" s="1">
        <v>4.8775000000000004</v>
      </c>
      <c r="AN71" s="1">
        <v>-7.13774</v>
      </c>
      <c r="AO71" s="1">
        <v>264.24977999999999</v>
      </c>
      <c r="AP71" s="1">
        <v>23</v>
      </c>
      <c r="AQ71" s="1">
        <v>61.242339999999999</v>
      </c>
      <c r="AR71" s="1">
        <v>4</v>
      </c>
      <c r="AS71" s="1">
        <v>37.02975</v>
      </c>
      <c r="AT71" s="1">
        <v>37.02975</v>
      </c>
      <c r="AU71" s="1">
        <v>3</v>
      </c>
      <c r="AV71" s="1">
        <v>0</v>
      </c>
      <c r="AW71" s="1">
        <v>0</v>
      </c>
      <c r="AX71" s="1">
        <v>0</v>
      </c>
      <c r="AY71" s="1">
        <v>3178.6481899999999</v>
      </c>
      <c r="AZ71" s="1">
        <v>119</v>
      </c>
      <c r="BA71" s="1">
        <v>119</v>
      </c>
      <c r="BB71" s="1">
        <v>41</v>
      </c>
      <c r="BC71" s="1">
        <v>41</v>
      </c>
      <c r="BD71" s="1">
        <v>30</v>
      </c>
      <c r="BE71" s="1">
        <v>11</v>
      </c>
      <c r="BF71" s="1">
        <v>362.52186999999998</v>
      </c>
      <c r="BG71" s="1">
        <v>98.272090000000006</v>
      </c>
      <c r="BH71" s="1">
        <v>37.02975</v>
      </c>
      <c r="BI71" s="1">
        <v>0</v>
      </c>
      <c r="BJ71" s="1">
        <v>30</v>
      </c>
      <c r="BK71" s="1">
        <v>0</v>
      </c>
      <c r="BL71" s="1">
        <v>204.70262</v>
      </c>
      <c r="BM71" s="1">
        <v>0</v>
      </c>
      <c r="BN71" s="3">
        <v>0.1030787037037037</v>
      </c>
      <c r="BO71" s="1" t="s">
        <v>130</v>
      </c>
      <c r="BP71" s="1" t="s">
        <v>130</v>
      </c>
      <c r="BQ71" s="1" t="s">
        <v>130</v>
      </c>
      <c r="BR71" s="1">
        <v>16.901129999999998</v>
      </c>
      <c r="BS71" s="1">
        <v>175</v>
      </c>
      <c r="BT71" s="1">
        <v>16.003889999999998</v>
      </c>
      <c r="BU71" s="1">
        <v>58</v>
      </c>
      <c r="BV71" s="1">
        <v>17.702649999999998</v>
      </c>
      <c r="BW71" s="1">
        <v>53.231679999999997</v>
      </c>
      <c r="BX71" s="1">
        <v>0</v>
      </c>
      <c r="BY71" s="1">
        <v>34</v>
      </c>
      <c r="BZ71" s="1">
        <v>16.268599999999999</v>
      </c>
      <c r="CA71" s="1">
        <v>46.596710000000002</v>
      </c>
      <c r="CB71" s="1">
        <v>3.4702099999999998</v>
      </c>
      <c r="CC71" s="1">
        <v>22</v>
      </c>
      <c r="CD71" s="1">
        <v>22.52327</v>
      </c>
      <c r="CE71" s="1">
        <v>32.836829999999999</v>
      </c>
      <c r="CF71" s="1">
        <v>0</v>
      </c>
      <c r="CG71" s="1">
        <v>4</v>
      </c>
      <c r="CH71" s="1">
        <v>14.41262</v>
      </c>
      <c r="CI71" s="1">
        <v>16.444520000000001</v>
      </c>
      <c r="CJ71" s="1">
        <v>0</v>
      </c>
      <c r="CK71" s="1">
        <v>2</v>
      </c>
      <c r="CL71" s="1" t="s">
        <v>130</v>
      </c>
      <c r="CM71" s="1" t="s">
        <v>130</v>
      </c>
      <c r="CN71" s="1" t="s">
        <v>130</v>
      </c>
      <c r="CO71" s="1">
        <v>0</v>
      </c>
      <c r="CP71" s="1">
        <v>17.85568</v>
      </c>
      <c r="CQ71" s="1">
        <v>163</v>
      </c>
      <c r="CR71" s="1">
        <v>15.29959</v>
      </c>
      <c r="CS71" s="1">
        <v>58</v>
      </c>
      <c r="CT71" s="1">
        <v>17.520620000000001</v>
      </c>
      <c r="CU71" s="1">
        <v>51.397559999999999</v>
      </c>
      <c r="CV71" s="1">
        <v>2.0059399999999998</v>
      </c>
      <c r="CW71" s="1">
        <v>33</v>
      </c>
      <c r="CX71" s="1">
        <v>15.009729999999999</v>
      </c>
      <c r="CY71" s="1">
        <v>44.728810000000003</v>
      </c>
      <c r="CZ71" s="1">
        <v>0</v>
      </c>
      <c r="DA71" s="1">
        <v>21</v>
      </c>
      <c r="DB71" s="1">
        <v>20.301929999999999</v>
      </c>
      <c r="DC71" s="1">
        <v>30.44295</v>
      </c>
      <c r="DD71" s="1">
        <v>8.97105</v>
      </c>
      <c r="DE71" s="1">
        <v>4</v>
      </c>
      <c r="DF71" s="1">
        <v>10.04377</v>
      </c>
      <c r="DG71" s="1">
        <v>11.99691</v>
      </c>
      <c r="DH71" s="1">
        <v>8.0906300000000009</v>
      </c>
      <c r="DI71" s="1">
        <v>2</v>
      </c>
      <c r="DJ71" s="1" t="s">
        <v>130</v>
      </c>
      <c r="DK71" s="1" t="s">
        <v>130</v>
      </c>
      <c r="DL71" s="1" t="s">
        <v>130</v>
      </c>
      <c r="DM71" s="1">
        <v>0</v>
      </c>
      <c r="DN71" s="1">
        <v>37.02975</v>
      </c>
      <c r="DO71" s="1">
        <v>93.864599999999996</v>
      </c>
      <c r="DP71" s="1">
        <v>3.5508600000000001</v>
      </c>
      <c r="DQ71" s="1">
        <v>199.43132</v>
      </c>
      <c r="DR71" s="1">
        <v>41</v>
      </c>
      <c r="DS71" s="1">
        <v>3.2319499999999999</v>
      </c>
      <c r="DT71" s="1">
        <v>5.6963999999999997</v>
      </c>
      <c r="DU71" s="1">
        <v>3164.9059499999998</v>
      </c>
      <c r="DV71" s="1">
        <v>133.22499999999999</v>
      </c>
      <c r="DW71" s="1">
        <v>119</v>
      </c>
      <c r="DX71" s="1">
        <v>0</v>
      </c>
      <c r="DY71" s="3">
        <v>0.1030787037037037</v>
      </c>
      <c r="DZ71" t="str">
        <f>IF(GPS_Table[[#This Row],[Max Vel (% Max)]] &gt;= 90, "YES", "NO")</f>
        <v>NO</v>
      </c>
    </row>
    <row r="72" spans="1:140" ht="14.25" customHeight="1" x14ac:dyDescent="0.2">
      <c r="A72" s="1" t="s">
        <v>213</v>
      </c>
      <c r="B72" s="1" t="s">
        <v>133</v>
      </c>
      <c r="C72" s="1" t="s">
        <v>129</v>
      </c>
      <c r="D72" s="1">
        <v>21.90005</v>
      </c>
      <c r="E72" s="1">
        <v>19.625710000000002</v>
      </c>
      <c r="F72" s="1">
        <v>89.614919999999998</v>
      </c>
      <c r="G72" s="1">
        <v>0.22686000000000001</v>
      </c>
      <c r="H72" s="1">
        <v>366.82362999999998</v>
      </c>
      <c r="I72" s="1">
        <v>5869.1781099999998</v>
      </c>
      <c r="J72" s="3">
        <v>6.4351851851851853E-3</v>
      </c>
      <c r="K72" s="3">
        <v>0.1030787037037037</v>
      </c>
      <c r="L72" s="1">
        <v>481.46296000000001</v>
      </c>
      <c r="M72" s="1">
        <v>30.091439999999999</v>
      </c>
      <c r="N72" s="1">
        <v>10.18764</v>
      </c>
      <c r="O72" s="1">
        <v>3.24329</v>
      </c>
      <c r="P72" s="1">
        <v>481.46296000000001</v>
      </c>
      <c r="Q72" s="1">
        <v>2020.65852</v>
      </c>
      <c r="R72" s="3">
        <v>6.9444444444444447E-4</v>
      </c>
      <c r="S72" s="1">
        <v>284.04417999999998</v>
      </c>
      <c r="T72" s="1">
        <v>36</v>
      </c>
      <c r="U72" s="1">
        <v>19</v>
      </c>
      <c r="V72" s="3">
        <v>2.199074074074074E-4</v>
      </c>
      <c r="W72" s="1">
        <v>116.50263</v>
      </c>
      <c r="X72" s="1">
        <v>0</v>
      </c>
      <c r="Y72" s="1">
        <v>0</v>
      </c>
      <c r="Z72" s="3">
        <v>0</v>
      </c>
      <c r="AA72" s="1">
        <v>22</v>
      </c>
      <c r="AB72" s="1">
        <v>47.572180000000003</v>
      </c>
      <c r="AC72" s="3">
        <v>2.7777777777777778E-4</v>
      </c>
      <c r="AD72" s="1">
        <v>22</v>
      </c>
      <c r="AE72" s="1">
        <v>8</v>
      </c>
      <c r="AF72" s="1">
        <v>8.9020100000000006</v>
      </c>
      <c r="AG72" s="3">
        <v>4.6296296296296294E-5</v>
      </c>
      <c r="AH72" s="1">
        <v>8</v>
      </c>
      <c r="AI72" s="1">
        <v>3</v>
      </c>
      <c r="AJ72" s="1">
        <v>4.6369199999999999</v>
      </c>
      <c r="AK72" s="3">
        <v>1.1574074074074073E-5</v>
      </c>
      <c r="AL72" s="1">
        <v>3</v>
      </c>
      <c r="AM72" s="1">
        <v>4.7119499999999999</v>
      </c>
      <c r="AN72" s="1">
        <v>-5.7557299999999998</v>
      </c>
      <c r="AO72" s="1">
        <v>241.62291999999999</v>
      </c>
      <c r="AP72" s="1">
        <v>20</v>
      </c>
      <c r="AQ72" s="1">
        <v>41.655729999999998</v>
      </c>
      <c r="AR72" s="1">
        <v>3</v>
      </c>
      <c r="AS72" s="1">
        <v>60.804900000000004</v>
      </c>
      <c r="AT72" s="1">
        <v>60.804900000000004</v>
      </c>
      <c r="AU72" s="1">
        <v>3</v>
      </c>
      <c r="AV72" s="1">
        <v>0</v>
      </c>
      <c r="AW72" s="1">
        <v>0</v>
      </c>
      <c r="AX72" s="1">
        <v>0</v>
      </c>
      <c r="AY72" s="1">
        <v>3150.34611</v>
      </c>
      <c r="AZ72" s="1">
        <v>88</v>
      </c>
      <c r="BA72" s="1">
        <v>88</v>
      </c>
      <c r="BB72" s="1">
        <v>30</v>
      </c>
      <c r="BC72" s="1">
        <v>30</v>
      </c>
      <c r="BD72" s="1">
        <v>19</v>
      </c>
      <c r="BE72" s="1">
        <v>11</v>
      </c>
      <c r="BF72" s="1">
        <v>344.08355</v>
      </c>
      <c r="BG72" s="1">
        <v>102.46062999999999</v>
      </c>
      <c r="BH72" s="1">
        <v>60.804900000000004</v>
      </c>
      <c r="BI72" s="1">
        <v>0</v>
      </c>
      <c r="BJ72" s="1">
        <v>26</v>
      </c>
      <c r="BK72" s="1">
        <v>0</v>
      </c>
      <c r="BL72" s="1">
        <v>196.37611999999999</v>
      </c>
      <c r="BM72" s="1">
        <v>0</v>
      </c>
      <c r="BN72" s="3">
        <v>0.1030787037037037</v>
      </c>
      <c r="BO72" s="1" t="s">
        <v>130</v>
      </c>
      <c r="BP72" s="1" t="s">
        <v>130</v>
      </c>
      <c r="BQ72" s="1" t="s">
        <v>130</v>
      </c>
      <c r="BR72" s="1">
        <v>16.53068</v>
      </c>
      <c r="BS72" s="1">
        <v>182</v>
      </c>
      <c r="BT72" s="1">
        <v>18.22795</v>
      </c>
      <c r="BU72" s="1">
        <v>46</v>
      </c>
      <c r="BV72" s="1">
        <v>16.831990000000001</v>
      </c>
      <c r="BW72" s="1">
        <v>57.223260000000003</v>
      </c>
      <c r="BX72" s="1">
        <v>2.82321</v>
      </c>
      <c r="BY72" s="1">
        <v>35</v>
      </c>
      <c r="BZ72" s="1">
        <v>16.62031</v>
      </c>
      <c r="CA72" s="1">
        <v>48.934919999999998</v>
      </c>
      <c r="CB72" s="1">
        <v>0</v>
      </c>
      <c r="CC72" s="1">
        <v>20</v>
      </c>
      <c r="CD72" s="1">
        <v>31.399529999999999</v>
      </c>
      <c r="CE72" s="1">
        <v>32.698129999999999</v>
      </c>
      <c r="CF72" s="1">
        <v>0</v>
      </c>
      <c r="CG72" s="1">
        <v>3</v>
      </c>
      <c r="CH72" s="1">
        <v>16.054680000000001</v>
      </c>
      <c r="CI72" s="1">
        <v>17.96706</v>
      </c>
      <c r="CJ72" s="1">
        <v>12.611599999999999</v>
      </c>
      <c r="CK72" s="1">
        <v>3</v>
      </c>
      <c r="CL72" s="1" t="s">
        <v>130</v>
      </c>
      <c r="CM72" s="1" t="s">
        <v>130</v>
      </c>
      <c r="CN72" s="1" t="s">
        <v>130</v>
      </c>
      <c r="CO72" s="1">
        <v>0</v>
      </c>
      <c r="CP72" s="1">
        <v>16.53068</v>
      </c>
      <c r="CQ72" s="1">
        <v>182</v>
      </c>
      <c r="CR72" s="1">
        <v>18.22795</v>
      </c>
      <c r="CS72" s="1">
        <v>46</v>
      </c>
      <c r="CT72" s="1">
        <v>16.831990000000001</v>
      </c>
      <c r="CU72" s="1">
        <v>57.223260000000003</v>
      </c>
      <c r="CV72" s="1">
        <v>2.82321</v>
      </c>
      <c r="CW72" s="1">
        <v>35</v>
      </c>
      <c r="CX72" s="1">
        <v>16.62031</v>
      </c>
      <c r="CY72" s="1">
        <v>48.934919999999998</v>
      </c>
      <c r="CZ72" s="1">
        <v>0</v>
      </c>
      <c r="DA72" s="1">
        <v>20</v>
      </c>
      <c r="DB72" s="1">
        <v>31.399529999999999</v>
      </c>
      <c r="DC72" s="1">
        <v>32.698129999999999</v>
      </c>
      <c r="DD72" s="1">
        <v>0</v>
      </c>
      <c r="DE72" s="1">
        <v>3</v>
      </c>
      <c r="DF72" s="1">
        <v>16.054680000000001</v>
      </c>
      <c r="DG72" s="1">
        <v>17.96706</v>
      </c>
      <c r="DH72" s="1">
        <v>12.611599999999999</v>
      </c>
      <c r="DI72" s="1">
        <v>3</v>
      </c>
      <c r="DJ72" s="1" t="s">
        <v>130</v>
      </c>
      <c r="DK72" s="1" t="s">
        <v>130</v>
      </c>
      <c r="DL72" s="1" t="s">
        <v>130</v>
      </c>
      <c r="DM72" s="1">
        <v>0</v>
      </c>
      <c r="DN72" s="1">
        <v>60.804900000000004</v>
      </c>
      <c r="DO72" s="1">
        <v>75.195329999999998</v>
      </c>
      <c r="DP72" s="1">
        <v>3.4428299999999998</v>
      </c>
      <c r="DQ72" s="1">
        <v>130.04156</v>
      </c>
      <c r="DR72" s="1">
        <v>30</v>
      </c>
      <c r="DS72" s="1">
        <v>2.8039499999999999</v>
      </c>
      <c r="DT72" s="1">
        <v>5.8625499999999997</v>
      </c>
      <c r="DU72" s="1">
        <v>3145.45057</v>
      </c>
      <c r="DV72" s="1">
        <v>135.16</v>
      </c>
      <c r="DW72" s="1">
        <v>88</v>
      </c>
      <c r="DX72" s="1">
        <v>0</v>
      </c>
      <c r="DY72" s="3">
        <v>0.1030787037037037</v>
      </c>
      <c r="DZ72" t="str">
        <f>IF(GPS_Table[[#This Row],[Max Vel (% Max)]] &gt;= 90, "YES", "NO")</f>
        <v>NO</v>
      </c>
    </row>
    <row r="73" spans="1:140" ht="14.25" customHeight="1" x14ac:dyDescent="0.2">
      <c r="A73" s="1" t="s">
        <v>214</v>
      </c>
      <c r="B73" s="1" t="s">
        <v>133</v>
      </c>
      <c r="C73" s="1" t="s">
        <v>129</v>
      </c>
      <c r="D73" s="1">
        <v>20.099989999999998</v>
      </c>
      <c r="E73" s="1">
        <v>18.929169999999999</v>
      </c>
      <c r="F73" s="1">
        <v>94.175039999999996</v>
      </c>
      <c r="G73" s="1">
        <v>0.21814</v>
      </c>
      <c r="H73" s="1">
        <v>346.0625</v>
      </c>
      <c r="I73" s="1">
        <v>5536.9999600000001</v>
      </c>
      <c r="J73" s="3">
        <v>6.4351851851851853E-3</v>
      </c>
      <c r="K73" s="3">
        <v>0.1030787037037037</v>
      </c>
      <c r="L73" s="1">
        <v>423.53339</v>
      </c>
      <c r="M73" s="1">
        <v>26.470839999999999</v>
      </c>
      <c r="N73" s="1">
        <v>7.3155299999999999</v>
      </c>
      <c r="O73" s="1">
        <v>2.8530500000000001</v>
      </c>
      <c r="P73" s="1">
        <v>423.53339</v>
      </c>
      <c r="Q73" s="1">
        <v>1942.9846399999999</v>
      </c>
      <c r="R73" s="3">
        <v>6.2500000000000001E-4</v>
      </c>
      <c r="S73" s="1">
        <v>242.83682999999999</v>
      </c>
      <c r="T73" s="1">
        <v>28</v>
      </c>
      <c r="U73" s="1">
        <v>24</v>
      </c>
      <c r="V73" s="3">
        <v>2.4305555555555555E-4</v>
      </c>
      <c r="W73" s="1">
        <v>122.47376</v>
      </c>
      <c r="X73" s="1">
        <v>0</v>
      </c>
      <c r="Y73" s="1">
        <v>0</v>
      </c>
      <c r="Z73" s="3">
        <v>0</v>
      </c>
      <c r="AA73" s="1">
        <v>21</v>
      </c>
      <c r="AB73" s="1">
        <v>48.731409999999997</v>
      </c>
      <c r="AC73" s="3">
        <v>3.3564814814814812E-4</v>
      </c>
      <c r="AD73" s="1">
        <v>21</v>
      </c>
      <c r="AE73" s="1">
        <v>11</v>
      </c>
      <c r="AF73" s="1">
        <v>14.3154</v>
      </c>
      <c r="AG73" s="3">
        <v>8.1018518518518516E-5</v>
      </c>
      <c r="AH73" s="1">
        <v>11</v>
      </c>
      <c r="AI73" s="1">
        <v>1</v>
      </c>
      <c r="AJ73" s="1">
        <v>1.4217</v>
      </c>
      <c r="AK73" s="3">
        <v>1.1574074074074073E-5</v>
      </c>
      <c r="AL73" s="1">
        <v>1</v>
      </c>
      <c r="AM73" s="1">
        <v>4.4370700000000003</v>
      </c>
      <c r="AN73" s="1">
        <v>-6.0306300000000004</v>
      </c>
      <c r="AO73" s="1">
        <v>193.31801999999999</v>
      </c>
      <c r="AP73" s="1">
        <v>22</v>
      </c>
      <c r="AQ73" s="1">
        <v>62.05162</v>
      </c>
      <c r="AR73" s="1">
        <v>7</v>
      </c>
      <c r="AS73" s="1">
        <v>45.428699999999999</v>
      </c>
      <c r="AT73" s="1">
        <v>26.334209999999999</v>
      </c>
      <c r="AU73" s="1">
        <v>2</v>
      </c>
      <c r="AV73" s="1">
        <v>1</v>
      </c>
      <c r="AW73" s="1">
        <v>19.09449</v>
      </c>
      <c r="AX73" s="1">
        <v>1</v>
      </c>
      <c r="AY73" s="1">
        <v>2866.3197599999999</v>
      </c>
      <c r="AZ73" s="1">
        <v>85</v>
      </c>
      <c r="BA73" s="1">
        <v>85</v>
      </c>
      <c r="BB73" s="1">
        <v>36</v>
      </c>
      <c r="BC73" s="1">
        <v>36</v>
      </c>
      <c r="BD73" s="1">
        <v>24</v>
      </c>
      <c r="BE73" s="1">
        <v>12</v>
      </c>
      <c r="BF73" s="1">
        <v>300.79834</v>
      </c>
      <c r="BG73" s="1">
        <v>107.48032000000001</v>
      </c>
      <c r="BH73" s="1">
        <v>45.428699999999999</v>
      </c>
      <c r="BI73" s="1">
        <v>19.09449</v>
      </c>
      <c r="BJ73" s="1">
        <v>32</v>
      </c>
      <c r="BK73" s="1">
        <v>0</v>
      </c>
      <c r="BL73" s="1">
        <v>185.42766</v>
      </c>
      <c r="BM73" s="1">
        <v>1</v>
      </c>
      <c r="BN73" s="3">
        <v>0.1030787037037037</v>
      </c>
      <c r="BO73" s="1" t="s">
        <v>130</v>
      </c>
      <c r="BP73" s="1" t="s">
        <v>130</v>
      </c>
      <c r="BQ73" s="1" t="s">
        <v>130</v>
      </c>
      <c r="BR73" s="1">
        <v>13.44975</v>
      </c>
      <c r="BS73" s="1">
        <v>201</v>
      </c>
      <c r="BT73" s="1">
        <v>13.427479999999999</v>
      </c>
      <c r="BU73" s="1">
        <v>58</v>
      </c>
      <c r="BV73" s="1">
        <v>15.923360000000001</v>
      </c>
      <c r="BW73" s="1">
        <v>57.517490000000002</v>
      </c>
      <c r="BX73" s="1">
        <v>0</v>
      </c>
      <c r="BY73" s="1">
        <v>30</v>
      </c>
      <c r="BZ73" s="1">
        <v>14.858510000000001</v>
      </c>
      <c r="CA73" s="1">
        <v>53.198569999999997</v>
      </c>
      <c r="CB73" s="1">
        <v>0</v>
      </c>
      <c r="CC73" s="1">
        <v>19</v>
      </c>
      <c r="CD73" s="1">
        <v>13.973739999999999</v>
      </c>
      <c r="CE73" s="1">
        <v>40.56221</v>
      </c>
      <c r="CF73" s="1">
        <v>3.0293299999999999</v>
      </c>
      <c r="CG73" s="1">
        <v>7</v>
      </c>
      <c r="CH73" s="1">
        <v>15.199780000000001</v>
      </c>
      <c r="CI73" s="1">
        <v>33.646230000000003</v>
      </c>
      <c r="CJ73" s="1">
        <v>3.0477500000000002</v>
      </c>
      <c r="CK73" s="1">
        <v>3</v>
      </c>
      <c r="CL73" s="1">
        <v>18.236059999999998</v>
      </c>
      <c r="CM73" s="1">
        <v>18.236059999999998</v>
      </c>
      <c r="CN73" s="1">
        <v>18.236059999999998</v>
      </c>
      <c r="CO73" s="1">
        <v>1</v>
      </c>
      <c r="CP73" s="1">
        <v>13.445489999999999</v>
      </c>
      <c r="CQ73" s="1">
        <v>200</v>
      </c>
      <c r="CR73" s="1">
        <v>13.39035</v>
      </c>
      <c r="CS73" s="1">
        <v>58</v>
      </c>
      <c r="CT73" s="1">
        <v>15.89729</v>
      </c>
      <c r="CU73" s="1">
        <v>57.517490000000002</v>
      </c>
      <c r="CV73" s="1">
        <v>0</v>
      </c>
      <c r="CW73" s="1">
        <v>30</v>
      </c>
      <c r="CX73" s="1">
        <v>14.786619999999999</v>
      </c>
      <c r="CY73" s="1">
        <v>53.198569999999997</v>
      </c>
      <c r="CZ73" s="1">
        <v>0</v>
      </c>
      <c r="DA73" s="1">
        <v>19</v>
      </c>
      <c r="DB73" s="1">
        <v>13.973739999999999</v>
      </c>
      <c r="DC73" s="1">
        <v>40.56221</v>
      </c>
      <c r="DD73" s="1">
        <v>3.0293299999999999</v>
      </c>
      <c r="DE73" s="1">
        <v>7</v>
      </c>
      <c r="DF73" s="1">
        <v>15.199780000000001</v>
      </c>
      <c r="DG73" s="1">
        <v>33.646230000000003</v>
      </c>
      <c r="DH73" s="1">
        <v>3.0477500000000002</v>
      </c>
      <c r="DI73" s="1">
        <v>3</v>
      </c>
      <c r="DJ73" s="1">
        <v>18.236059999999998</v>
      </c>
      <c r="DK73" s="1">
        <v>18.236059999999998</v>
      </c>
      <c r="DL73" s="1">
        <v>18.236059999999998</v>
      </c>
      <c r="DM73" s="1">
        <v>1</v>
      </c>
      <c r="DN73" s="1">
        <v>45.428699999999999</v>
      </c>
      <c r="DO73" s="1">
        <v>76.203310000000002</v>
      </c>
      <c r="DP73" s="1">
        <v>3.50909</v>
      </c>
      <c r="DQ73" s="1">
        <v>138.21086</v>
      </c>
      <c r="DR73" s="1">
        <v>36</v>
      </c>
      <c r="DS73" s="1">
        <v>4.0138499999999997</v>
      </c>
      <c r="DT73" s="1">
        <v>5.4325099999999997</v>
      </c>
      <c r="DU73" s="1">
        <v>2853.1168200000002</v>
      </c>
      <c r="DV73" s="1">
        <v>136.65167</v>
      </c>
      <c r="DW73" s="1">
        <v>85</v>
      </c>
      <c r="DX73" s="1">
        <v>0</v>
      </c>
      <c r="DY73" s="3">
        <v>0.1030787037037037</v>
      </c>
      <c r="DZ73" t="str">
        <f>IF(GPS_Table[[#This Row],[Max Vel (% Max)]] &gt;= 90, "YES", "NO")</f>
        <v>YES</v>
      </c>
    </row>
    <row r="74" spans="1:140" ht="14.25" customHeight="1" x14ac:dyDescent="0.2">
      <c r="A74" s="1" t="s">
        <v>215</v>
      </c>
      <c r="B74" s="1" t="s">
        <v>133</v>
      </c>
      <c r="C74" s="1" t="s">
        <v>129</v>
      </c>
      <c r="D74" s="1">
        <v>21.619990000000001</v>
      </c>
      <c r="E74" s="1">
        <v>18.948840000000001</v>
      </c>
      <c r="F74" s="1">
        <v>87.645009999999999</v>
      </c>
      <c r="G74" s="1">
        <v>0.22455</v>
      </c>
      <c r="H74" s="1">
        <v>322.35827</v>
      </c>
      <c r="I74" s="1">
        <v>5157.7323399999996</v>
      </c>
      <c r="J74" s="3">
        <v>6.4351851851851853E-3</v>
      </c>
      <c r="K74" s="3">
        <v>0.1030787037037037</v>
      </c>
      <c r="L74" s="1">
        <v>430.84456999999998</v>
      </c>
      <c r="M74" s="1">
        <v>26.927790000000002</v>
      </c>
      <c r="N74" s="1">
        <v>7.1839300000000001</v>
      </c>
      <c r="O74" s="1">
        <v>2.9022999999999999</v>
      </c>
      <c r="P74" s="1">
        <v>430.84456999999998</v>
      </c>
      <c r="Q74" s="1">
        <v>2000.0936999999999</v>
      </c>
      <c r="R74" s="3">
        <v>6.8287037037037036E-4</v>
      </c>
      <c r="S74" s="1">
        <v>275.41557999999998</v>
      </c>
      <c r="T74" s="1">
        <v>44</v>
      </c>
      <c r="U74" s="1">
        <v>27</v>
      </c>
      <c r="V74" s="3">
        <v>3.3564814814814812E-4</v>
      </c>
      <c r="W74" s="1">
        <v>175.48119</v>
      </c>
      <c r="X74" s="1">
        <v>3</v>
      </c>
      <c r="Y74" s="1">
        <v>3.6964100000000002</v>
      </c>
      <c r="Z74" s="3">
        <v>0</v>
      </c>
      <c r="AA74" s="1">
        <v>30</v>
      </c>
      <c r="AB74" s="1">
        <v>79.975939999999994</v>
      </c>
      <c r="AC74" s="3">
        <v>4.861111111111111E-4</v>
      </c>
      <c r="AD74" s="1">
        <v>30</v>
      </c>
      <c r="AE74" s="1">
        <v>15</v>
      </c>
      <c r="AF74" s="1">
        <v>19.575679999999998</v>
      </c>
      <c r="AG74" s="3">
        <v>2.0833333333333335E-4</v>
      </c>
      <c r="AH74" s="1">
        <v>15</v>
      </c>
      <c r="AI74" s="1">
        <v>4</v>
      </c>
      <c r="AJ74" s="1">
        <v>4.1338600000000003</v>
      </c>
      <c r="AK74" s="3">
        <v>1.1574074074074073E-5</v>
      </c>
      <c r="AL74" s="1">
        <v>4</v>
      </c>
      <c r="AM74" s="1">
        <v>5.1780999999999997</v>
      </c>
      <c r="AN74" s="1">
        <v>-5.7352699999999999</v>
      </c>
      <c r="AO74" s="1">
        <v>278.99167999999997</v>
      </c>
      <c r="AP74" s="1">
        <v>25</v>
      </c>
      <c r="AQ74" s="1">
        <v>74.901579999999996</v>
      </c>
      <c r="AR74" s="1">
        <v>6</v>
      </c>
      <c r="AS74" s="1">
        <v>65.102800000000002</v>
      </c>
      <c r="AT74" s="1">
        <v>65.102800000000002</v>
      </c>
      <c r="AU74" s="1">
        <v>4</v>
      </c>
      <c r="AV74" s="1">
        <v>0</v>
      </c>
      <c r="AW74" s="1">
        <v>0</v>
      </c>
      <c r="AX74" s="1">
        <v>0</v>
      </c>
      <c r="AY74" s="1">
        <v>3056.97775</v>
      </c>
      <c r="AZ74" s="1">
        <v>123</v>
      </c>
      <c r="BA74" s="1">
        <v>123</v>
      </c>
      <c r="BB74" s="1">
        <v>49</v>
      </c>
      <c r="BC74" s="1">
        <v>49</v>
      </c>
      <c r="BD74" s="1">
        <v>30</v>
      </c>
      <c r="BE74" s="1">
        <v>19</v>
      </c>
      <c r="BF74" s="1">
        <v>418.99606</v>
      </c>
      <c r="BG74" s="1">
        <v>140.00438</v>
      </c>
      <c r="BH74" s="1">
        <v>65.102800000000002</v>
      </c>
      <c r="BI74" s="1">
        <v>0</v>
      </c>
      <c r="BJ74" s="1">
        <v>35</v>
      </c>
      <c r="BK74" s="1">
        <v>0</v>
      </c>
      <c r="BL74" s="1">
        <v>176.70409000000001</v>
      </c>
      <c r="BM74" s="1">
        <v>0</v>
      </c>
      <c r="BN74" s="3">
        <v>0.1030787037037037</v>
      </c>
      <c r="BO74" s="1" t="s">
        <v>130</v>
      </c>
      <c r="BP74" s="1" t="s">
        <v>130</v>
      </c>
      <c r="BQ74" s="1" t="s">
        <v>130</v>
      </c>
      <c r="BR74" s="1">
        <v>19.001740000000002</v>
      </c>
      <c r="BS74" s="1">
        <v>156</v>
      </c>
      <c r="BT74" s="1">
        <v>16.243279999999999</v>
      </c>
      <c r="BU74" s="1">
        <v>59</v>
      </c>
      <c r="BV74" s="1">
        <v>16.891690000000001</v>
      </c>
      <c r="BW74" s="1">
        <v>51.412909999999997</v>
      </c>
      <c r="BX74" s="1">
        <v>0</v>
      </c>
      <c r="BY74" s="1">
        <v>38</v>
      </c>
      <c r="BZ74" s="1">
        <v>16.437740000000002</v>
      </c>
      <c r="CA74" s="1">
        <v>45.426470000000002</v>
      </c>
      <c r="CB74" s="1">
        <v>2.6093500000000001</v>
      </c>
      <c r="CC74" s="1">
        <v>24</v>
      </c>
      <c r="CD74" s="1">
        <v>19.97503</v>
      </c>
      <c r="CE74" s="1">
        <v>34.589860000000002</v>
      </c>
      <c r="CF74" s="1">
        <v>3.8879899999999998</v>
      </c>
      <c r="CG74" s="1">
        <v>7</v>
      </c>
      <c r="CH74" s="1">
        <v>15.19468</v>
      </c>
      <c r="CI74" s="1">
        <v>27.090959999999999</v>
      </c>
      <c r="CJ74" s="1">
        <v>8.7358200000000004</v>
      </c>
      <c r="CK74" s="1">
        <v>4</v>
      </c>
      <c r="CL74" s="1" t="s">
        <v>130</v>
      </c>
      <c r="CM74" s="1" t="s">
        <v>130</v>
      </c>
      <c r="CN74" s="1" t="s">
        <v>130</v>
      </c>
      <c r="CO74" s="1">
        <v>0</v>
      </c>
      <c r="CP74" s="1">
        <v>19.01811</v>
      </c>
      <c r="CQ74" s="1">
        <v>156</v>
      </c>
      <c r="CR74" s="1">
        <v>16.243279999999999</v>
      </c>
      <c r="CS74" s="1">
        <v>59</v>
      </c>
      <c r="CT74" s="1">
        <v>17.280470000000001</v>
      </c>
      <c r="CU74" s="1">
        <v>51.412909999999997</v>
      </c>
      <c r="CV74" s="1">
        <v>0</v>
      </c>
      <c r="CW74" s="1">
        <v>37</v>
      </c>
      <c r="CX74" s="1">
        <v>16.53894</v>
      </c>
      <c r="CY74" s="1">
        <v>45.426470000000002</v>
      </c>
      <c r="CZ74" s="1">
        <v>2.6093500000000001</v>
      </c>
      <c r="DA74" s="1">
        <v>24</v>
      </c>
      <c r="DB74" s="1">
        <v>19.862549999999999</v>
      </c>
      <c r="DC74" s="1">
        <v>34.589860000000002</v>
      </c>
      <c r="DD74" s="1">
        <v>3.8879899999999998</v>
      </c>
      <c r="DE74" s="1">
        <v>7</v>
      </c>
      <c r="DF74" s="1">
        <v>15.19468</v>
      </c>
      <c r="DG74" s="1">
        <v>27.090959999999999</v>
      </c>
      <c r="DH74" s="1">
        <v>8.7358200000000004</v>
      </c>
      <c r="DI74" s="1">
        <v>4</v>
      </c>
      <c r="DJ74" s="1" t="s">
        <v>130</v>
      </c>
      <c r="DK74" s="1" t="s">
        <v>130</v>
      </c>
      <c r="DL74" s="1" t="s">
        <v>130</v>
      </c>
      <c r="DM74" s="1">
        <v>0</v>
      </c>
      <c r="DN74" s="1">
        <v>65.102800000000002</v>
      </c>
      <c r="DO74" s="1">
        <v>110.20926</v>
      </c>
      <c r="DP74" s="1">
        <v>3.87785</v>
      </c>
      <c r="DQ74" s="1">
        <v>202.88713999999999</v>
      </c>
      <c r="DR74" s="1">
        <v>49</v>
      </c>
      <c r="DS74" s="1">
        <v>3.0173299999999998</v>
      </c>
      <c r="DT74" s="1">
        <v>8.1236499999999996</v>
      </c>
      <c r="DU74" s="1">
        <v>3054.8775099999998</v>
      </c>
      <c r="DV74" s="1">
        <v>136.22</v>
      </c>
      <c r="DW74" s="1">
        <v>123</v>
      </c>
      <c r="DX74" s="1">
        <v>3</v>
      </c>
      <c r="DY74" s="3">
        <v>0.1030787037037037</v>
      </c>
      <c r="DZ74" t="str">
        <f>IF(GPS_Table[[#This Row],[Max Vel (% Max)]] &gt;= 90, "YES", "NO")</f>
        <v>NO</v>
      </c>
    </row>
    <row r="75" spans="1:140" ht="14.25" customHeight="1" x14ac:dyDescent="0.2">
      <c r="A75" s="1" t="s">
        <v>216</v>
      </c>
      <c r="B75" s="1" t="s">
        <v>133</v>
      </c>
      <c r="C75" s="1" t="s">
        <v>129</v>
      </c>
      <c r="D75" s="1">
        <v>21.400010000000002</v>
      </c>
      <c r="E75" s="1">
        <v>18.844650000000001</v>
      </c>
      <c r="F75" s="1">
        <v>88.059070000000006</v>
      </c>
      <c r="G75" s="1">
        <v>0.23860000000000001</v>
      </c>
      <c r="H75" s="1">
        <v>377.49849999999998</v>
      </c>
      <c r="I75" s="1">
        <v>6039.9760399999996</v>
      </c>
      <c r="J75" s="3">
        <v>6.4351851851851853E-3</v>
      </c>
      <c r="K75" s="3">
        <v>0.1030787037037037</v>
      </c>
      <c r="L75" s="1">
        <v>458.25713999999999</v>
      </c>
      <c r="M75" s="1">
        <v>28.641069999999999</v>
      </c>
      <c r="N75" s="1">
        <v>6.74322</v>
      </c>
      <c r="O75" s="1">
        <v>3.0869599999999999</v>
      </c>
      <c r="P75" s="1">
        <v>458.25713999999999</v>
      </c>
      <c r="Q75" s="1">
        <v>2125.2017999999998</v>
      </c>
      <c r="R75" s="3">
        <v>7.5231481481481482E-4</v>
      </c>
      <c r="S75" s="1">
        <v>289.38101999999998</v>
      </c>
      <c r="T75" s="1">
        <v>25</v>
      </c>
      <c r="U75" s="1">
        <v>30</v>
      </c>
      <c r="V75" s="3">
        <v>3.5879629629629629E-4</v>
      </c>
      <c r="W75" s="1">
        <v>194.98032000000001</v>
      </c>
      <c r="X75" s="1">
        <v>1</v>
      </c>
      <c r="Y75" s="1">
        <v>1.67323</v>
      </c>
      <c r="Z75" s="3">
        <v>0</v>
      </c>
      <c r="AA75" s="1">
        <v>26</v>
      </c>
      <c r="AB75" s="1">
        <v>60.356520000000003</v>
      </c>
      <c r="AC75" s="3">
        <v>3.3564814814814812E-4</v>
      </c>
      <c r="AD75" s="1">
        <v>26</v>
      </c>
      <c r="AE75" s="1">
        <v>6</v>
      </c>
      <c r="AF75" s="1">
        <v>8.2239699999999996</v>
      </c>
      <c r="AG75" s="3">
        <v>6.9444444444444444E-5</v>
      </c>
      <c r="AH75" s="1">
        <v>6</v>
      </c>
      <c r="AI75" s="1">
        <v>2</v>
      </c>
      <c r="AJ75" s="1">
        <v>1.1811</v>
      </c>
      <c r="AK75" s="3">
        <v>0</v>
      </c>
      <c r="AL75" s="1">
        <v>2</v>
      </c>
      <c r="AM75" s="1">
        <v>5.1314599999999997</v>
      </c>
      <c r="AN75" s="1">
        <v>-5.7996600000000003</v>
      </c>
      <c r="AO75" s="1">
        <v>300.24059</v>
      </c>
      <c r="AP75" s="1">
        <v>24</v>
      </c>
      <c r="AQ75" s="1">
        <v>86.472009999999997</v>
      </c>
      <c r="AR75" s="1">
        <v>10</v>
      </c>
      <c r="AS75" s="1">
        <v>49.540680000000002</v>
      </c>
      <c r="AT75" s="1">
        <v>49.540680000000002</v>
      </c>
      <c r="AU75" s="1">
        <v>3</v>
      </c>
      <c r="AV75" s="1">
        <v>0</v>
      </c>
      <c r="AW75" s="1">
        <v>0</v>
      </c>
      <c r="AX75" s="1">
        <v>0</v>
      </c>
      <c r="AY75" s="1">
        <v>3308.9174200000002</v>
      </c>
      <c r="AZ75" s="1">
        <v>90</v>
      </c>
      <c r="BA75" s="1">
        <v>90</v>
      </c>
      <c r="BB75" s="1">
        <v>39</v>
      </c>
      <c r="BC75" s="1">
        <v>39</v>
      </c>
      <c r="BD75" s="1">
        <v>31</v>
      </c>
      <c r="BE75" s="1">
        <v>8</v>
      </c>
      <c r="BF75" s="1">
        <v>436.25328000000002</v>
      </c>
      <c r="BG75" s="1">
        <v>136.01268999999999</v>
      </c>
      <c r="BH75" s="1">
        <v>49.540680000000002</v>
      </c>
      <c r="BI75" s="1">
        <v>0</v>
      </c>
      <c r="BJ75" s="1">
        <v>37</v>
      </c>
      <c r="BK75" s="1">
        <v>0</v>
      </c>
      <c r="BL75" s="1">
        <v>195.76096000000001</v>
      </c>
      <c r="BM75" s="1">
        <v>0</v>
      </c>
      <c r="BN75" s="3">
        <v>0.1030787037037037</v>
      </c>
      <c r="BO75" s="1" t="s">
        <v>130</v>
      </c>
      <c r="BP75" s="1" t="s">
        <v>130</v>
      </c>
      <c r="BQ75" s="1" t="s">
        <v>130</v>
      </c>
      <c r="BR75" s="1">
        <v>16.3963</v>
      </c>
      <c r="BS75" s="1">
        <v>193</v>
      </c>
      <c r="BT75" s="1">
        <v>17.02252</v>
      </c>
      <c r="BU75" s="1">
        <v>50</v>
      </c>
      <c r="BV75" s="1">
        <v>16.6143</v>
      </c>
      <c r="BW75" s="1">
        <v>48.856160000000003</v>
      </c>
      <c r="BX75" s="1">
        <v>0</v>
      </c>
      <c r="BY75" s="1">
        <v>36</v>
      </c>
      <c r="BZ75" s="1">
        <v>17.04354</v>
      </c>
      <c r="CA75" s="1">
        <v>43.88017</v>
      </c>
      <c r="CB75" s="1">
        <v>0</v>
      </c>
      <c r="CC75" s="1">
        <v>24</v>
      </c>
      <c r="CD75" s="1">
        <v>13.09201</v>
      </c>
      <c r="CE75" s="1">
        <v>30.598210000000002</v>
      </c>
      <c r="CF75" s="1">
        <v>4.5538699999999999</v>
      </c>
      <c r="CG75" s="1">
        <v>10</v>
      </c>
      <c r="CH75" s="1">
        <v>12.65859</v>
      </c>
      <c r="CI75" s="1">
        <v>22.482479999999999</v>
      </c>
      <c r="CJ75" s="1">
        <v>4.3667800000000003</v>
      </c>
      <c r="CK75" s="1">
        <v>3</v>
      </c>
      <c r="CL75" s="1" t="s">
        <v>130</v>
      </c>
      <c r="CM75" s="1" t="s">
        <v>130</v>
      </c>
      <c r="CN75" s="1" t="s">
        <v>130</v>
      </c>
      <c r="CO75" s="1">
        <v>0</v>
      </c>
      <c r="CP75" s="1">
        <v>16.371949999999998</v>
      </c>
      <c r="CQ75" s="1">
        <v>193</v>
      </c>
      <c r="CR75" s="1">
        <v>17.03877</v>
      </c>
      <c r="CS75" s="1">
        <v>50</v>
      </c>
      <c r="CT75" s="1">
        <v>16.62734</v>
      </c>
      <c r="CU75" s="1">
        <v>48.856160000000003</v>
      </c>
      <c r="CV75" s="1">
        <v>0</v>
      </c>
      <c r="CW75" s="1">
        <v>36</v>
      </c>
      <c r="CX75" s="1">
        <v>17.009640000000001</v>
      </c>
      <c r="CY75" s="1">
        <v>43.88017</v>
      </c>
      <c r="CZ75" s="1">
        <v>0</v>
      </c>
      <c r="DA75" s="1">
        <v>24</v>
      </c>
      <c r="DB75" s="1">
        <v>13.09201</v>
      </c>
      <c r="DC75" s="1">
        <v>30.598210000000002</v>
      </c>
      <c r="DD75" s="1">
        <v>4.5538699999999999</v>
      </c>
      <c r="DE75" s="1">
        <v>10</v>
      </c>
      <c r="DF75" s="1">
        <v>12.65859</v>
      </c>
      <c r="DG75" s="1">
        <v>22.482479999999999</v>
      </c>
      <c r="DH75" s="1">
        <v>4.3667800000000003</v>
      </c>
      <c r="DI75" s="1">
        <v>3</v>
      </c>
      <c r="DJ75" s="1" t="s">
        <v>130</v>
      </c>
      <c r="DK75" s="1" t="s">
        <v>130</v>
      </c>
      <c r="DL75" s="1" t="s">
        <v>130</v>
      </c>
      <c r="DM75" s="1">
        <v>0</v>
      </c>
      <c r="DN75" s="1">
        <v>49.540680000000002</v>
      </c>
      <c r="DO75" s="1">
        <v>104.13451999999999</v>
      </c>
      <c r="DP75" s="1">
        <v>3.5185599999999999</v>
      </c>
      <c r="DQ75" s="1">
        <v>206.05861999999999</v>
      </c>
      <c r="DR75" s="1">
        <v>39</v>
      </c>
      <c r="DS75" s="1">
        <v>3.05505</v>
      </c>
      <c r="DT75" s="1">
        <v>7.2227699999999997</v>
      </c>
      <c r="DU75" s="1">
        <v>3305.28217</v>
      </c>
      <c r="DV75" s="1">
        <v>136.46167</v>
      </c>
      <c r="DW75" s="1">
        <v>90</v>
      </c>
      <c r="DX75" s="1">
        <v>1</v>
      </c>
      <c r="DY75" s="3">
        <v>0.1030787037037037</v>
      </c>
      <c r="DZ75" t="str">
        <f>IF(GPS_Table[[#This Row],[Max Vel (% Max)]] &gt;= 90, "YES", "NO")</f>
        <v>NO</v>
      </c>
    </row>
    <row r="76" spans="1:140" ht="14.25" customHeight="1" x14ac:dyDescent="0.2">
      <c r="A76" s="1" t="s">
        <v>217</v>
      </c>
      <c r="B76" s="1" t="s">
        <v>133</v>
      </c>
      <c r="C76" s="1" t="s">
        <v>129</v>
      </c>
      <c r="D76" s="1">
        <v>21.2</v>
      </c>
      <c r="E76" s="1">
        <v>19.656639999999999</v>
      </c>
      <c r="F76" s="1">
        <v>92.719970000000004</v>
      </c>
      <c r="G76" s="1">
        <v>0.22478999999999999</v>
      </c>
      <c r="H76" s="1">
        <v>372.83670000000001</v>
      </c>
      <c r="I76" s="1">
        <v>5965.3871200000003</v>
      </c>
      <c r="J76" s="3">
        <v>6.4351851851851853E-3</v>
      </c>
      <c r="K76" s="3">
        <v>0.1030787037037037</v>
      </c>
      <c r="L76" s="1">
        <v>488.44560999999999</v>
      </c>
      <c r="M76" s="1">
        <v>30.527850000000001</v>
      </c>
      <c r="N76" s="1">
        <v>8.3021999999999991</v>
      </c>
      <c r="O76" s="1">
        <v>3.2903199999999999</v>
      </c>
      <c r="P76" s="1">
        <v>488.44560999999999</v>
      </c>
      <c r="Q76" s="1">
        <v>2002.2001600000001</v>
      </c>
      <c r="R76" s="3">
        <v>6.8287037037037036E-4</v>
      </c>
      <c r="S76" s="1">
        <v>291.92912999999999</v>
      </c>
      <c r="T76" s="1">
        <v>30</v>
      </c>
      <c r="U76" s="1">
        <v>33</v>
      </c>
      <c r="V76" s="3">
        <v>3.3564814814814812E-4</v>
      </c>
      <c r="W76" s="1">
        <v>167.44313</v>
      </c>
      <c r="X76" s="1">
        <v>0</v>
      </c>
      <c r="Y76" s="1">
        <v>2.8324600000000002</v>
      </c>
      <c r="Z76" s="3">
        <v>0</v>
      </c>
      <c r="AA76" s="1">
        <v>35</v>
      </c>
      <c r="AB76" s="1">
        <v>78.576120000000003</v>
      </c>
      <c r="AC76" s="3">
        <v>4.7453703703703704E-4</v>
      </c>
      <c r="AD76" s="1">
        <v>35</v>
      </c>
      <c r="AE76" s="1">
        <v>12</v>
      </c>
      <c r="AF76" s="1">
        <v>13.199909999999999</v>
      </c>
      <c r="AG76" s="3">
        <v>1.273148148148148E-4</v>
      </c>
      <c r="AH76" s="1">
        <v>12</v>
      </c>
      <c r="AI76" s="1">
        <v>3</v>
      </c>
      <c r="AJ76" s="1">
        <v>3.0293100000000002</v>
      </c>
      <c r="AK76" s="3">
        <v>1.1574074074074073E-5</v>
      </c>
      <c r="AL76" s="1">
        <v>3</v>
      </c>
      <c r="AM76" s="1">
        <v>4.74627</v>
      </c>
      <c r="AN76" s="1">
        <v>-5.9410600000000002</v>
      </c>
      <c r="AO76" s="1">
        <v>422.05819000000002</v>
      </c>
      <c r="AP76" s="1">
        <v>34</v>
      </c>
      <c r="AQ76" s="1">
        <v>124.68285</v>
      </c>
      <c r="AR76" s="1">
        <v>11</v>
      </c>
      <c r="AS76" s="1">
        <v>68.897639999999996</v>
      </c>
      <c r="AT76" s="1">
        <v>49.26728</v>
      </c>
      <c r="AU76" s="1">
        <v>2</v>
      </c>
      <c r="AV76" s="1">
        <v>1</v>
      </c>
      <c r="AW76" s="1">
        <v>19.63036</v>
      </c>
      <c r="AX76" s="1">
        <v>1</v>
      </c>
      <c r="AY76" s="1">
        <v>3280.0962599999998</v>
      </c>
      <c r="AZ76" s="1">
        <v>113</v>
      </c>
      <c r="BA76" s="1">
        <v>113</v>
      </c>
      <c r="BB76" s="1">
        <v>48</v>
      </c>
      <c r="BC76" s="1">
        <v>48</v>
      </c>
      <c r="BD76" s="1">
        <v>33</v>
      </c>
      <c r="BE76" s="1">
        <v>15</v>
      </c>
      <c r="BF76" s="1">
        <v>615.63868000000002</v>
      </c>
      <c r="BG76" s="1">
        <v>193.58049</v>
      </c>
      <c r="BH76" s="1">
        <v>68.897639999999996</v>
      </c>
      <c r="BI76" s="1">
        <v>19.63036</v>
      </c>
      <c r="BJ76" s="1">
        <v>48</v>
      </c>
      <c r="BK76" s="1">
        <v>0</v>
      </c>
      <c r="BL76" s="1">
        <v>200.22835000000001</v>
      </c>
      <c r="BM76" s="1">
        <v>1</v>
      </c>
      <c r="BN76" s="3">
        <v>0.1030787037037037</v>
      </c>
      <c r="BO76" s="1" t="s">
        <v>130</v>
      </c>
      <c r="BP76" s="1" t="s">
        <v>130</v>
      </c>
      <c r="BQ76" s="1" t="s">
        <v>130</v>
      </c>
      <c r="BR76" s="1">
        <v>17.26876</v>
      </c>
      <c r="BS76" s="1">
        <v>189</v>
      </c>
      <c r="BT76" s="1">
        <v>19.747199999999999</v>
      </c>
      <c r="BU76" s="1">
        <v>56</v>
      </c>
      <c r="BV76" s="1">
        <v>22.161180000000002</v>
      </c>
      <c r="BW76" s="1">
        <v>49.435670000000002</v>
      </c>
      <c r="BX76" s="1">
        <v>0</v>
      </c>
      <c r="BY76" s="1">
        <v>38</v>
      </c>
      <c r="BZ76" s="1">
        <v>18.681000000000001</v>
      </c>
      <c r="CA76" s="1">
        <v>46.632759999999998</v>
      </c>
      <c r="CB76" s="1">
        <v>2.87073</v>
      </c>
      <c r="CC76" s="1">
        <v>32</v>
      </c>
      <c r="CD76" s="1">
        <v>16.565200000000001</v>
      </c>
      <c r="CE76" s="1">
        <v>34.133899999999997</v>
      </c>
      <c r="CF76" s="1">
        <v>3.8014800000000002</v>
      </c>
      <c r="CG76" s="1">
        <v>11</v>
      </c>
      <c r="CH76" s="1">
        <v>21.807739999999999</v>
      </c>
      <c r="CI76" s="1">
        <v>26.77056</v>
      </c>
      <c r="CJ76" s="1">
        <v>0</v>
      </c>
      <c r="CK76" s="1">
        <v>3</v>
      </c>
      <c r="CL76" s="1">
        <v>13.23817</v>
      </c>
      <c r="CM76" s="1">
        <v>13.23817</v>
      </c>
      <c r="CN76" s="1">
        <v>0</v>
      </c>
      <c r="CO76" s="1">
        <v>1</v>
      </c>
      <c r="CP76" s="1">
        <v>17.26876</v>
      </c>
      <c r="CQ76" s="1">
        <v>189</v>
      </c>
      <c r="CR76" s="1">
        <v>19.747199999999999</v>
      </c>
      <c r="CS76" s="1">
        <v>56</v>
      </c>
      <c r="CT76" s="1">
        <v>22.161180000000002</v>
      </c>
      <c r="CU76" s="1">
        <v>49.435670000000002</v>
      </c>
      <c r="CV76" s="1">
        <v>0</v>
      </c>
      <c r="CW76" s="1">
        <v>38</v>
      </c>
      <c r="CX76" s="1">
        <v>18.681000000000001</v>
      </c>
      <c r="CY76" s="1">
        <v>46.632759999999998</v>
      </c>
      <c r="CZ76" s="1">
        <v>2.87073</v>
      </c>
      <c r="DA76" s="1">
        <v>32</v>
      </c>
      <c r="DB76" s="1">
        <v>16.565200000000001</v>
      </c>
      <c r="DC76" s="1">
        <v>34.133899999999997</v>
      </c>
      <c r="DD76" s="1">
        <v>3.8014800000000002</v>
      </c>
      <c r="DE76" s="1">
        <v>11</v>
      </c>
      <c r="DF76" s="1">
        <v>21.807739999999999</v>
      </c>
      <c r="DG76" s="1">
        <v>26.77056</v>
      </c>
      <c r="DH76" s="1">
        <v>0</v>
      </c>
      <c r="DI76" s="1">
        <v>3</v>
      </c>
      <c r="DJ76" s="1">
        <v>13.23817</v>
      </c>
      <c r="DK76" s="1">
        <v>13.23817</v>
      </c>
      <c r="DL76" s="1">
        <v>0</v>
      </c>
      <c r="DM76" s="1">
        <v>1</v>
      </c>
      <c r="DN76" s="1">
        <v>68.897639999999996</v>
      </c>
      <c r="DO76" s="1">
        <v>120.35927</v>
      </c>
      <c r="DP76" s="1">
        <v>3.35636</v>
      </c>
      <c r="DQ76" s="1">
        <v>186.50480999999999</v>
      </c>
      <c r="DR76" s="1">
        <v>48</v>
      </c>
      <c r="DS76" s="1">
        <v>3.17333</v>
      </c>
      <c r="DT76" s="1">
        <v>10.320180000000001</v>
      </c>
      <c r="DU76" s="1">
        <v>3269.00702</v>
      </c>
      <c r="DV76" s="1">
        <v>136.48667</v>
      </c>
      <c r="DW76" s="1">
        <v>113</v>
      </c>
      <c r="DX76" s="1">
        <v>0</v>
      </c>
      <c r="DY76" s="3">
        <v>0.1030787037037037</v>
      </c>
      <c r="DZ76" t="str">
        <f>IF(GPS_Table[[#This Row],[Max Vel (% Max)]] &gt;= 90, "YES", "NO")</f>
        <v>YES</v>
      </c>
    </row>
    <row r="77" spans="1:140" ht="14.25" customHeight="1" x14ac:dyDescent="0.2">
      <c r="A77" s="1" t="s">
        <v>218</v>
      </c>
      <c r="B77" s="1" t="s">
        <v>133</v>
      </c>
      <c r="C77" s="1" t="s">
        <v>129</v>
      </c>
      <c r="D77" s="1">
        <v>20.2</v>
      </c>
      <c r="E77" s="1">
        <v>17.884360000000001</v>
      </c>
      <c r="F77" s="1">
        <v>88.536389999999997</v>
      </c>
      <c r="G77" s="1">
        <v>0.23829</v>
      </c>
      <c r="H77" s="1">
        <v>336.29149999999998</v>
      </c>
      <c r="I77" s="1">
        <v>5380.6639299999997</v>
      </c>
      <c r="J77" s="3">
        <v>6.4351851851851853E-3</v>
      </c>
      <c r="K77" s="3">
        <v>0.1030787037037037</v>
      </c>
      <c r="L77" s="1">
        <v>481.91091999999998</v>
      </c>
      <c r="M77" s="1">
        <v>30.119430000000001</v>
      </c>
      <c r="N77" s="1">
        <v>5.2986000000000004</v>
      </c>
      <c r="O77" s="1">
        <v>3.2463000000000002</v>
      </c>
      <c r="P77" s="1">
        <v>481.91091999999998</v>
      </c>
      <c r="Q77" s="1">
        <v>2122.39957</v>
      </c>
      <c r="R77" s="3">
        <v>9.7222222222222219E-4</v>
      </c>
      <c r="S77" s="1">
        <v>357.22879</v>
      </c>
      <c r="T77" s="1">
        <v>61</v>
      </c>
      <c r="U77" s="1">
        <v>23</v>
      </c>
      <c r="V77" s="3">
        <v>2.6620370370370372E-4</v>
      </c>
      <c r="W77" s="1">
        <v>131.61635999999999</v>
      </c>
      <c r="X77" s="1">
        <v>0</v>
      </c>
      <c r="Y77" s="1">
        <v>0</v>
      </c>
      <c r="Z77" s="3">
        <v>0</v>
      </c>
      <c r="AA77" s="1">
        <v>54</v>
      </c>
      <c r="AB77" s="1">
        <v>77.832459999999998</v>
      </c>
      <c r="AC77" s="3">
        <v>6.8287037037037036E-4</v>
      </c>
      <c r="AD77" s="1">
        <v>54</v>
      </c>
      <c r="AE77" s="1">
        <v>8</v>
      </c>
      <c r="AF77" s="1">
        <v>7.9724399999999997</v>
      </c>
      <c r="AG77" s="3">
        <v>5.7870370370370373E-5</v>
      </c>
      <c r="AH77" s="1">
        <v>8</v>
      </c>
      <c r="AI77" s="1">
        <v>3</v>
      </c>
      <c r="AJ77" s="1">
        <v>2.5153099999999999</v>
      </c>
      <c r="AK77" s="3">
        <v>1.1574074074074073E-5</v>
      </c>
      <c r="AL77" s="1">
        <v>3</v>
      </c>
      <c r="AM77" s="1">
        <v>4.7971000000000004</v>
      </c>
      <c r="AN77" s="1">
        <v>-5.6608400000000003</v>
      </c>
      <c r="AO77" s="1">
        <v>214.56693000000001</v>
      </c>
      <c r="AP77" s="1">
        <v>17</v>
      </c>
      <c r="AQ77" s="1">
        <v>82.206909999999993</v>
      </c>
      <c r="AR77" s="1">
        <v>9</v>
      </c>
      <c r="AS77" s="1">
        <v>59.612859999999998</v>
      </c>
      <c r="AT77" s="1">
        <v>59.612859999999998</v>
      </c>
      <c r="AU77" s="1">
        <v>4</v>
      </c>
      <c r="AV77" s="1">
        <v>0</v>
      </c>
      <c r="AW77" s="1">
        <v>0</v>
      </c>
      <c r="AX77" s="1">
        <v>0</v>
      </c>
      <c r="AY77" s="1">
        <v>3824.66</v>
      </c>
      <c r="AZ77" s="1">
        <v>149</v>
      </c>
      <c r="BA77" s="1">
        <v>149</v>
      </c>
      <c r="BB77" s="1">
        <v>34</v>
      </c>
      <c r="BC77" s="1">
        <v>34</v>
      </c>
      <c r="BD77" s="1">
        <v>23</v>
      </c>
      <c r="BE77" s="1">
        <v>11</v>
      </c>
      <c r="BF77" s="1">
        <v>356.38670000000002</v>
      </c>
      <c r="BG77" s="1">
        <v>141.81977000000001</v>
      </c>
      <c r="BH77" s="1">
        <v>59.612859999999998</v>
      </c>
      <c r="BI77" s="1">
        <v>0</v>
      </c>
      <c r="BJ77" s="1">
        <v>30</v>
      </c>
      <c r="BK77" s="1">
        <v>0</v>
      </c>
      <c r="BL77" s="1">
        <v>191.70368999999999</v>
      </c>
      <c r="BM77" s="1">
        <v>0</v>
      </c>
      <c r="BN77" s="3">
        <v>0.1030787037037037</v>
      </c>
      <c r="BO77" s="1" t="s">
        <v>130</v>
      </c>
      <c r="BP77" s="1" t="s">
        <v>130</v>
      </c>
      <c r="BQ77" s="1" t="s">
        <v>130</v>
      </c>
      <c r="BR77" s="1">
        <v>14.228260000000001</v>
      </c>
      <c r="BS77" s="1">
        <v>245</v>
      </c>
      <c r="BT77" s="1">
        <v>12.09825</v>
      </c>
      <c r="BU77" s="1">
        <v>79</v>
      </c>
      <c r="BV77" s="1">
        <v>15.49118</v>
      </c>
      <c r="BW77" s="1">
        <v>57.3904</v>
      </c>
      <c r="BX77" s="1">
        <v>2.4323299999999999</v>
      </c>
      <c r="BY77" s="1">
        <v>35</v>
      </c>
      <c r="BZ77" s="1">
        <v>19.554030000000001</v>
      </c>
      <c r="CA77" s="1">
        <v>53.15719</v>
      </c>
      <c r="CB77" s="1">
        <v>0</v>
      </c>
      <c r="CC77" s="1">
        <v>17</v>
      </c>
      <c r="CD77" s="1">
        <v>15.271890000000001</v>
      </c>
      <c r="CE77" s="1">
        <v>40.995010000000001</v>
      </c>
      <c r="CF77" s="1">
        <v>2.8467099999999999</v>
      </c>
      <c r="CG77" s="1">
        <v>9</v>
      </c>
      <c r="CH77" s="1">
        <v>13.996919999999999</v>
      </c>
      <c r="CI77" s="1">
        <v>21.333200000000001</v>
      </c>
      <c r="CJ77" s="1">
        <v>7.2868399999999998</v>
      </c>
      <c r="CK77" s="1">
        <v>4</v>
      </c>
      <c r="CL77" s="1" t="s">
        <v>130</v>
      </c>
      <c r="CM77" s="1" t="s">
        <v>130</v>
      </c>
      <c r="CN77" s="1" t="s">
        <v>130</v>
      </c>
      <c r="CO77" s="1">
        <v>0</v>
      </c>
      <c r="CP77" s="1">
        <v>14.228260000000001</v>
      </c>
      <c r="CQ77" s="1">
        <v>245</v>
      </c>
      <c r="CR77" s="1">
        <v>12.09825</v>
      </c>
      <c r="CS77" s="1">
        <v>79</v>
      </c>
      <c r="CT77" s="1">
        <v>15.49118</v>
      </c>
      <c r="CU77" s="1">
        <v>57.3904</v>
      </c>
      <c r="CV77" s="1">
        <v>2.4323299999999999</v>
      </c>
      <c r="CW77" s="1">
        <v>35</v>
      </c>
      <c r="CX77" s="1">
        <v>19.554030000000001</v>
      </c>
      <c r="CY77" s="1">
        <v>53.15719</v>
      </c>
      <c r="CZ77" s="1">
        <v>0</v>
      </c>
      <c r="DA77" s="1">
        <v>17</v>
      </c>
      <c r="DB77" s="1">
        <v>15.271890000000001</v>
      </c>
      <c r="DC77" s="1">
        <v>40.995010000000001</v>
      </c>
      <c r="DD77" s="1">
        <v>2.8467099999999999</v>
      </c>
      <c r="DE77" s="1">
        <v>9</v>
      </c>
      <c r="DF77" s="1">
        <v>13.996919999999999</v>
      </c>
      <c r="DG77" s="1">
        <v>21.333200000000001</v>
      </c>
      <c r="DH77" s="1">
        <v>7.2868399999999998</v>
      </c>
      <c r="DI77" s="1">
        <v>4</v>
      </c>
      <c r="DJ77" s="1" t="s">
        <v>130</v>
      </c>
      <c r="DK77" s="1" t="s">
        <v>130</v>
      </c>
      <c r="DL77" s="1" t="s">
        <v>130</v>
      </c>
      <c r="DM77" s="1">
        <v>0</v>
      </c>
      <c r="DN77" s="1">
        <v>59.612859999999998</v>
      </c>
      <c r="DO77" s="1">
        <v>83.504930000000002</v>
      </c>
      <c r="DP77" s="1">
        <v>3.9444900000000001</v>
      </c>
      <c r="DQ77" s="1">
        <v>142.10410999999999</v>
      </c>
      <c r="DR77" s="1">
        <v>34</v>
      </c>
      <c r="DS77" s="1">
        <v>3.5276200000000002</v>
      </c>
      <c r="DT77" s="1">
        <v>6.6234700000000002</v>
      </c>
      <c r="DU77" s="1">
        <v>3821.63166</v>
      </c>
      <c r="DV77" s="1">
        <v>130.12666999999999</v>
      </c>
      <c r="DW77" s="1">
        <v>149</v>
      </c>
      <c r="DX77" s="1">
        <v>0</v>
      </c>
      <c r="DY77" s="3">
        <v>0.1030787037037037</v>
      </c>
      <c r="DZ77" t="str">
        <f>IF(GPS_Table[[#This Row],[Max Vel (% Max)]] &gt;= 90, "YES", "NO")</f>
        <v>NO</v>
      </c>
    </row>
    <row r="78" spans="1:140" ht="14.25" customHeight="1" x14ac:dyDescent="0.2">
      <c r="A78" s="1" t="s">
        <v>219</v>
      </c>
      <c r="B78" s="1" t="s">
        <v>133</v>
      </c>
      <c r="C78" s="1" t="s">
        <v>129</v>
      </c>
      <c r="D78" s="1">
        <v>21.90005</v>
      </c>
      <c r="E78" s="1">
        <v>18.240359999999999</v>
      </c>
      <c r="F78" s="1">
        <v>83.28913</v>
      </c>
      <c r="G78" s="1">
        <v>0.23630999999999999</v>
      </c>
      <c r="H78" s="1">
        <v>340.19587000000001</v>
      </c>
      <c r="I78" s="1">
        <v>5443.1338699999997</v>
      </c>
      <c r="J78" s="3">
        <v>6.4351851851851853E-3</v>
      </c>
      <c r="K78" s="3">
        <v>0.1030787037037037</v>
      </c>
      <c r="L78" s="1">
        <v>557.24095999999997</v>
      </c>
      <c r="M78" s="1">
        <v>34.827559999999998</v>
      </c>
      <c r="N78" s="1">
        <v>7.7394100000000003</v>
      </c>
      <c r="O78" s="1">
        <v>3.7537500000000001</v>
      </c>
      <c r="P78" s="1">
        <v>557.24095999999997</v>
      </c>
      <c r="Q78" s="1">
        <v>2104.8040700000001</v>
      </c>
      <c r="R78" s="3">
        <v>5.6712962962962967E-4</v>
      </c>
      <c r="S78" s="1">
        <v>234.76597000000001</v>
      </c>
      <c r="T78" s="1">
        <v>23</v>
      </c>
      <c r="U78" s="1">
        <v>23</v>
      </c>
      <c r="V78" s="3">
        <v>2.5462962962962961E-4</v>
      </c>
      <c r="W78" s="1">
        <v>134.2629</v>
      </c>
      <c r="X78" s="1">
        <v>3</v>
      </c>
      <c r="Y78" s="1">
        <v>3.1277300000000001</v>
      </c>
      <c r="Z78" s="3">
        <v>0</v>
      </c>
      <c r="AA78" s="1">
        <v>32</v>
      </c>
      <c r="AB78" s="1">
        <v>68.821089999999998</v>
      </c>
      <c r="AC78" s="3">
        <v>4.1666666666666669E-4</v>
      </c>
      <c r="AD78" s="1">
        <v>32</v>
      </c>
      <c r="AE78" s="1">
        <v>6</v>
      </c>
      <c r="AF78" s="1">
        <v>15.40901</v>
      </c>
      <c r="AG78" s="3">
        <v>5.7870370370370373E-5</v>
      </c>
      <c r="AH78" s="1">
        <v>6</v>
      </c>
      <c r="AI78" s="1">
        <v>5</v>
      </c>
      <c r="AJ78" s="1">
        <v>6.3429599999999997</v>
      </c>
      <c r="AK78" s="3">
        <v>3.4722222222222222E-5</v>
      </c>
      <c r="AL78" s="1">
        <v>5</v>
      </c>
      <c r="AM78" s="1">
        <v>5.8477899999999998</v>
      </c>
      <c r="AN78" s="1">
        <v>-6.4940100000000003</v>
      </c>
      <c r="AO78" s="1">
        <v>198.18459999999999</v>
      </c>
      <c r="AP78" s="1">
        <v>18</v>
      </c>
      <c r="AQ78" s="1">
        <v>34.623800000000003</v>
      </c>
      <c r="AR78" s="1">
        <v>2</v>
      </c>
      <c r="AS78" s="1">
        <v>10.389329999999999</v>
      </c>
      <c r="AT78" s="1">
        <v>10.389329999999999</v>
      </c>
      <c r="AU78" s="1">
        <v>1</v>
      </c>
      <c r="AV78" s="1">
        <v>0</v>
      </c>
      <c r="AW78" s="1">
        <v>0</v>
      </c>
      <c r="AX78" s="1">
        <v>0</v>
      </c>
      <c r="AY78" s="1">
        <v>2762.5564300000001</v>
      </c>
      <c r="AZ78" s="1">
        <v>92</v>
      </c>
      <c r="BA78" s="1">
        <v>92</v>
      </c>
      <c r="BB78" s="1">
        <v>37</v>
      </c>
      <c r="BC78" s="1">
        <v>37</v>
      </c>
      <c r="BD78" s="1">
        <v>26</v>
      </c>
      <c r="BE78" s="1">
        <v>11</v>
      </c>
      <c r="BF78" s="1">
        <v>243.19773000000001</v>
      </c>
      <c r="BG78" s="1">
        <v>45.013129999999997</v>
      </c>
      <c r="BH78" s="1">
        <v>10.389329999999999</v>
      </c>
      <c r="BI78" s="1">
        <v>0</v>
      </c>
      <c r="BJ78" s="1">
        <v>21</v>
      </c>
      <c r="BK78" s="1">
        <v>0</v>
      </c>
      <c r="BL78" s="1">
        <v>183.85008999999999</v>
      </c>
      <c r="BM78" s="1">
        <v>0</v>
      </c>
      <c r="BN78" s="3">
        <v>0.1030787037037037</v>
      </c>
      <c r="BO78" s="1" t="s">
        <v>130</v>
      </c>
      <c r="BP78" s="1" t="s">
        <v>130</v>
      </c>
      <c r="BQ78" s="1" t="s">
        <v>130</v>
      </c>
      <c r="BR78" s="1">
        <v>18.897030000000001</v>
      </c>
      <c r="BS78" s="1">
        <v>145</v>
      </c>
      <c r="BT78" s="1">
        <v>14.31789</v>
      </c>
      <c r="BU78" s="1">
        <v>50</v>
      </c>
      <c r="BV78" s="1">
        <v>14.657349999999999</v>
      </c>
      <c r="BW78" s="1">
        <v>55.352159999999998</v>
      </c>
      <c r="BX78" s="1">
        <v>2.5514100000000002</v>
      </c>
      <c r="BY78" s="1">
        <v>32</v>
      </c>
      <c r="BZ78" s="1">
        <v>12.90475</v>
      </c>
      <c r="CA78" s="1">
        <v>48.82432</v>
      </c>
      <c r="CB78" s="1">
        <v>2.9516300000000002</v>
      </c>
      <c r="CC78" s="1">
        <v>18</v>
      </c>
      <c r="CD78" s="1">
        <v>20.686800000000002</v>
      </c>
      <c r="CE78" s="1">
        <v>35.001100000000001</v>
      </c>
      <c r="CF78" s="1">
        <v>0</v>
      </c>
      <c r="CG78" s="1">
        <v>2</v>
      </c>
      <c r="CH78" s="1">
        <v>9.6106300000000005</v>
      </c>
      <c r="CI78" s="1">
        <v>9.6106300000000005</v>
      </c>
      <c r="CJ78" s="1">
        <v>9.6106300000000005</v>
      </c>
      <c r="CK78" s="1">
        <v>1</v>
      </c>
      <c r="CL78" s="1" t="s">
        <v>130</v>
      </c>
      <c r="CM78" s="1" t="s">
        <v>130</v>
      </c>
      <c r="CN78" s="1" t="s">
        <v>130</v>
      </c>
      <c r="CO78" s="1">
        <v>0</v>
      </c>
      <c r="CP78" s="1">
        <v>18.897030000000001</v>
      </c>
      <c r="CQ78" s="1">
        <v>145</v>
      </c>
      <c r="CR78" s="1">
        <v>14.31789</v>
      </c>
      <c r="CS78" s="1">
        <v>50</v>
      </c>
      <c r="CT78" s="1">
        <v>14.657349999999999</v>
      </c>
      <c r="CU78" s="1">
        <v>55.352159999999998</v>
      </c>
      <c r="CV78" s="1">
        <v>2.5514100000000002</v>
      </c>
      <c r="CW78" s="1">
        <v>32</v>
      </c>
      <c r="CX78" s="1">
        <v>12.90475</v>
      </c>
      <c r="CY78" s="1">
        <v>48.82432</v>
      </c>
      <c r="CZ78" s="1">
        <v>2.9516300000000002</v>
      </c>
      <c r="DA78" s="1">
        <v>18</v>
      </c>
      <c r="DB78" s="1">
        <v>20.686800000000002</v>
      </c>
      <c r="DC78" s="1">
        <v>35.001100000000001</v>
      </c>
      <c r="DD78" s="1">
        <v>0</v>
      </c>
      <c r="DE78" s="1">
        <v>2</v>
      </c>
      <c r="DF78" s="1">
        <v>9.6106300000000005</v>
      </c>
      <c r="DG78" s="1">
        <v>9.6106300000000005</v>
      </c>
      <c r="DH78" s="1">
        <v>9.6106300000000005</v>
      </c>
      <c r="DI78" s="1">
        <v>1</v>
      </c>
      <c r="DJ78" s="1" t="s">
        <v>130</v>
      </c>
      <c r="DK78" s="1" t="s">
        <v>130</v>
      </c>
      <c r="DL78" s="1" t="s">
        <v>130</v>
      </c>
      <c r="DM78" s="1">
        <v>0</v>
      </c>
      <c r="DN78" s="1">
        <v>10.389329999999999</v>
      </c>
      <c r="DO78" s="1">
        <v>74.690330000000003</v>
      </c>
      <c r="DP78" s="1">
        <v>3.8668999999999998</v>
      </c>
      <c r="DQ78" s="1">
        <v>159.14259999999999</v>
      </c>
      <c r="DR78" s="1">
        <v>37</v>
      </c>
      <c r="DS78" s="1">
        <v>2.7815599999999998</v>
      </c>
      <c r="DT78" s="1">
        <v>4.4679700000000002</v>
      </c>
      <c r="DU78" s="1">
        <v>2771.9269300000001</v>
      </c>
      <c r="DV78" s="1">
        <v>132.24167</v>
      </c>
      <c r="DW78" s="1">
        <v>92</v>
      </c>
      <c r="DX78" s="1">
        <v>3</v>
      </c>
      <c r="DY78" s="3">
        <v>0.1030787037037037</v>
      </c>
      <c r="DZ78" t="str">
        <f>IF(GPS_Table[[#This Row],[Max Vel (% Max)]] &gt;= 90, "YES", "NO")</f>
        <v>NO</v>
      </c>
    </row>
    <row r="79" spans="1:140" s="4" customFormat="1" ht="14.25" customHeight="1" x14ac:dyDescent="0.2">
      <c r="A79" s="1" t="s">
        <v>220</v>
      </c>
      <c r="B79" s="1" t="s">
        <v>133</v>
      </c>
      <c r="C79" s="1" t="s">
        <v>129</v>
      </c>
      <c r="D79" s="1">
        <v>21.7</v>
      </c>
      <c r="E79" s="1">
        <v>19.41245</v>
      </c>
      <c r="F79" s="1">
        <v>89.458299999999994</v>
      </c>
      <c r="G79" s="1">
        <v>0.22092999999999999</v>
      </c>
      <c r="H79" s="1">
        <v>337.94875999999999</v>
      </c>
      <c r="I79" s="1">
        <v>5407.1801800000003</v>
      </c>
      <c r="J79" s="3">
        <v>6.4351851851851853E-3</v>
      </c>
      <c r="K79" s="3">
        <v>0.1030787037037037</v>
      </c>
      <c r="L79" s="1">
        <v>460.54721000000001</v>
      </c>
      <c r="M79" s="1">
        <v>28.784199999999998</v>
      </c>
      <c r="N79" s="1">
        <v>7.08582</v>
      </c>
      <c r="O79" s="1">
        <v>3.1023900000000002</v>
      </c>
      <c r="P79" s="1">
        <v>460.54721000000001</v>
      </c>
      <c r="Q79" s="1">
        <v>1967.8526199999999</v>
      </c>
      <c r="R79" s="3">
        <v>6.9444444444444447E-4</v>
      </c>
      <c r="S79" s="1">
        <v>281.40857999999997</v>
      </c>
      <c r="T79" s="1">
        <v>31</v>
      </c>
      <c r="U79" s="1">
        <v>30</v>
      </c>
      <c r="V79" s="3">
        <v>2.7777777777777778E-4</v>
      </c>
      <c r="W79" s="1">
        <v>141.60104999999999</v>
      </c>
      <c r="X79" s="1">
        <v>2</v>
      </c>
      <c r="Y79" s="1">
        <v>7.7427799999999998</v>
      </c>
      <c r="Z79" s="3">
        <v>0</v>
      </c>
      <c r="AA79" s="1">
        <v>29</v>
      </c>
      <c r="AB79" s="1">
        <v>54.658790000000003</v>
      </c>
      <c r="AC79" s="3">
        <v>3.9351851851851852E-4</v>
      </c>
      <c r="AD79" s="1">
        <v>29</v>
      </c>
      <c r="AE79" s="1">
        <v>4</v>
      </c>
      <c r="AF79" s="1">
        <v>25.371829999999999</v>
      </c>
      <c r="AG79" s="3">
        <v>5.7870370370370367E-4</v>
      </c>
      <c r="AH79" s="1">
        <v>4</v>
      </c>
      <c r="AI79" s="1">
        <v>2</v>
      </c>
      <c r="AJ79" s="1">
        <v>5.1618500000000003</v>
      </c>
      <c r="AK79" s="3">
        <v>1.1574074074074073E-5</v>
      </c>
      <c r="AL79" s="1">
        <v>2</v>
      </c>
      <c r="AM79" s="1">
        <v>5.0657699999999997</v>
      </c>
      <c r="AN79" s="1">
        <v>-6.0681399999999996</v>
      </c>
      <c r="AO79" s="1">
        <v>222.41907</v>
      </c>
      <c r="AP79" s="1">
        <v>23</v>
      </c>
      <c r="AQ79" s="1">
        <v>54.374450000000003</v>
      </c>
      <c r="AR79" s="1">
        <v>3</v>
      </c>
      <c r="AS79" s="1">
        <v>44.488190000000003</v>
      </c>
      <c r="AT79" s="1">
        <v>44.488190000000003</v>
      </c>
      <c r="AU79" s="1">
        <v>4</v>
      </c>
      <c r="AV79" s="1">
        <v>0</v>
      </c>
      <c r="AW79" s="1">
        <v>0</v>
      </c>
      <c r="AX79" s="1">
        <v>0</v>
      </c>
      <c r="AY79" s="1">
        <v>2769.9207500000002</v>
      </c>
      <c r="AZ79" s="1">
        <v>98</v>
      </c>
      <c r="BA79" s="1">
        <v>98</v>
      </c>
      <c r="BB79" s="1">
        <v>38</v>
      </c>
      <c r="BC79" s="1">
        <v>38</v>
      </c>
      <c r="BD79" s="1">
        <v>32</v>
      </c>
      <c r="BE79" s="1">
        <v>6</v>
      </c>
      <c r="BF79" s="1">
        <v>321.28170999999998</v>
      </c>
      <c r="BG79" s="1">
        <v>98.862639999999999</v>
      </c>
      <c r="BH79" s="1">
        <v>44.488190000000003</v>
      </c>
      <c r="BI79" s="1">
        <v>0</v>
      </c>
      <c r="BJ79" s="1">
        <v>30</v>
      </c>
      <c r="BK79" s="1">
        <v>0</v>
      </c>
      <c r="BL79" s="1">
        <v>179.97537</v>
      </c>
      <c r="BM79" s="1">
        <v>0</v>
      </c>
      <c r="BN79" s="3">
        <v>0.1030787037037037</v>
      </c>
      <c r="BO79" s="1" t="s">
        <v>130</v>
      </c>
      <c r="BP79" s="1" t="s">
        <v>130</v>
      </c>
      <c r="BQ79" s="1" t="s">
        <v>130</v>
      </c>
      <c r="BR79" s="1">
        <v>14.2265</v>
      </c>
      <c r="BS79" s="1">
        <v>188</v>
      </c>
      <c r="BT79" s="1">
        <v>16.635950000000001</v>
      </c>
      <c r="BU79" s="1">
        <v>51</v>
      </c>
      <c r="BV79" s="1">
        <v>15.69627</v>
      </c>
      <c r="BW79" s="1">
        <v>54.694879999999998</v>
      </c>
      <c r="BX79" s="1">
        <v>2.1846899999999998</v>
      </c>
      <c r="BY79" s="1">
        <v>37</v>
      </c>
      <c r="BZ79" s="1">
        <v>13.33216</v>
      </c>
      <c r="CA79" s="1">
        <v>48.312559999999998</v>
      </c>
      <c r="CB79" s="1">
        <v>0</v>
      </c>
      <c r="CC79" s="1">
        <v>22</v>
      </c>
      <c r="CD79" s="1">
        <v>32.827710000000003</v>
      </c>
      <c r="CE79" s="1">
        <v>35.819040000000001</v>
      </c>
      <c r="CF79" s="1">
        <v>28.774100000000001</v>
      </c>
      <c r="CG79" s="1">
        <v>3</v>
      </c>
      <c r="CH79" s="1">
        <v>14.61834</v>
      </c>
      <c r="CI79" s="1">
        <v>23.197759999999999</v>
      </c>
      <c r="CJ79" s="1">
        <v>0</v>
      </c>
      <c r="CK79" s="1">
        <v>2</v>
      </c>
      <c r="CL79" s="1" t="s">
        <v>130</v>
      </c>
      <c r="CM79" s="1" t="s">
        <v>130</v>
      </c>
      <c r="CN79" s="1" t="s">
        <v>130</v>
      </c>
      <c r="CO79" s="1">
        <v>0</v>
      </c>
      <c r="CP79" s="1">
        <v>14.208869999999999</v>
      </c>
      <c r="CQ79" s="1">
        <v>188</v>
      </c>
      <c r="CR79" s="1">
        <v>16.635950000000001</v>
      </c>
      <c r="CS79" s="1">
        <v>51</v>
      </c>
      <c r="CT79" s="1">
        <v>15.69627</v>
      </c>
      <c r="CU79" s="1">
        <v>54.694879999999998</v>
      </c>
      <c r="CV79" s="1">
        <v>2.1846899999999998</v>
      </c>
      <c r="CW79" s="1">
        <v>37</v>
      </c>
      <c r="CX79" s="1">
        <v>13.358560000000001</v>
      </c>
      <c r="CY79" s="1">
        <v>48.312559999999998</v>
      </c>
      <c r="CZ79" s="1">
        <v>0</v>
      </c>
      <c r="DA79" s="1">
        <v>22</v>
      </c>
      <c r="DB79" s="1">
        <v>32.827710000000003</v>
      </c>
      <c r="DC79" s="1">
        <v>35.819040000000001</v>
      </c>
      <c r="DD79" s="1">
        <v>28.774100000000001</v>
      </c>
      <c r="DE79" s="1">
        <v>3</v>
      </c>
      <c r="DF79" s="1">
        <v>14.61834</v>
      </c>
      <c r="DG79" s="1">
        <v>23.197759999999999</v>
      </c>
      <c r="DH79" s="1">
        <v>6.0388999999999999</v>
      </c>
      <c r="DI79" s="1">
        <v>2</v>
      </c>
      <c r="DJ79" s="1" t="s">
        <v>130</v>
      </c>
      <c r="DK79" s="1" t="s">
        <v>130</v>
      </c>
      <c r="DL79" s="1" t="s">
        <v>130</v>
      </c>
      <c r="DM79" s="1">
        <v>0</v>
      </c>
      <c r="DN79" s="1">
        <v>44.488190000000003</v>
      </c>
      <c r="DO79" s="1">
        <v>84.940640000000002</v>
      </c>
      <c r="DP79" s="1">
        <v>3.6393300000000002</v>
      </c>
      <c r="DQ79" s="1">
        <v>179.87751</v>
      </c>
      <c r="DR79" s="1">
        <v>38</v>
      </c>
      <c r="DS79" s="1">
        <v>1.73706</v>
      </c>
      <c r="DT79" s="1">
        <v>5.9417600000000004</v>
      </c>
      <c r="DU79" s="1">
        <v>2764.7200200000002</v>
      </c>
      <c r="DV79" s="1">
        <v>137.29499999999999</v>
      </c>
      <c r="DW79" s="1">
        <v>98</v>
      </c>
      <c r="DX79" s="1">
        <v>2</v>
      </c>
      <c r="DY79" s="3">
        <v>0.1030787037037037</v>
      </c>
      <c r="DZ79" t="str">
        <f>IF(GPS_Table[[#This Row],[Max Vel (% Max)]] &gt;= 90, "YES", "NO")</f>
        <v>NO</v>
      </c>
      <c r="EA79"/>
      <c r="EB79"/>
      <c r="EC79"/>
      <c r="ED79"/>
      <c r="EE79"/>
      <c r="EF79"/>
      <c r="EG79"/>
      <c r="EH79"/>
      <c r="EI79"/>
      <c r="EJ79"/>
    </row>
    <row r="80" spans="1:140" ht="14.25" customHeight="1" x14ac:dyDescent="0.2">
      <c r="A80" s="1" t="s">
        <v>221</v>
      </c>
      <c r="B80" s="1" t="s">
        <v>133</v>
      </c>
      <c r="C80" s="1" t="s">
        <v>129</v>
      </c>
      <c r="D80" s="1">
        <v>20.400010000000002</v>
      </c>
      <c r="E80" s="1">
        <v>17.585850000000001</v>
      </c>
      <c r="F80" s="1">
        <v>86.205119999999994</v>
      </c>
      <c r="G80" s="1">
        <v>0.24399000000000001</v>
      </c>
      <c r="H80" s="1">
        <v>332.04165</v>
      </c>
      <c r="I80" s="1">
        <v>5312.6663900000003</v>
      </c>
      <c r="J80" s="3">
        <v>6.4351851851851853E-3</v>
      </c>
      <c r="K80" s="3">
        <v>0.1030787037037037</v>
      </c>
      <c r="L80" s="1">
        <v>434.13288999999997</v>
      </c>
      <c r="M80" s="1">
        <v>27.133310000000002</v>
      </c>
      <c r="N80" s="1">
        <v>5.9433600000000002</v>
      </c>
      <c r="O80" s="1">
        <v>2.9244500000000002</v>
      </c>
      <c r="P80" s="1">
        <v>434.13288999999997</v>
      </c>
      <c r="Q80" s="1">
        <v>2173.20622</v>
      </c>
      <c r="R80" s="3">
        <v>7.291666666666667E-4</v>
      </c>
      <c r="S80" s="1">
        <v>262.36876999999998</v>
      </c>
      <c r="T80" s="1">
        <v>35</v>
      </c>
      <c r="U80" s="1">
        <v>23</v>
      </c>
      <c r="V80" s="3">
        <v>2.3148148148148149E-4</v>
      </c>
      <c r="W80" s="1">
        <v>113.73578999999999</v>
      </c>
      <c r="X80" s="1">
        <v>0</v>
      </c>
      <c r="Y80" s="1">
        <v>0</v>
      </c>
      <c r="Z80" s="3">
        <v>0</v>
      </c>
      <c r="AA80" s="1">
        <v>26</v>
      </c>
      <c r="AB80" s="1">
        <v>60.520560000000003</v>
      </c>
      <c r="AC80" s="3">
        <v>6.134259259259259E-4</v>
      </c>
      <c r="AD80" s="1">
        <v>26</v>
      </c>
      <c r="AE80" s="1">
        <v>16</v>
      </c>
      <c r="AF80" s="1">
        <v>17.989940000000001</v>
      </c>
      <c r="AG80" s="3">
        <v>1.273148148148148E-4</v>
      </c>
      <c r="AH80" s="1">
        <v>16</v>
      </c>
      <c r="AI80" s="1">
        <v>2</v>
      </c>
      <c r="AJ80" s="1">
        <v>2.6246700000000001</v>
      </c>
      <c r="AK80" s="3">
        <v>0</v>
      </c>
      <c r="AL80" s="1">
        <v>2</v>
      </c>
      <c r="AM80" s="1">
        <v>4.6652300000000002</v>
      </c>
      <c r="AN80" s="1">
        <v>-5.62967</v>
      </c>
      <c r="AO80" s="1">
        <v>201.97944000000001</v>
      </c>
      <c r="AP80" s="1">
        <v>19</v>
      </c>
      <c r="AQ80" s="1">
        <v>69.72878</v>
      </c>
      <c r="AR80" s="1">
        <v>6</v>
      </c>
      <c r="AS80" s="1">
        <v>33.103679999999997</v>
      </c>
      <c r="AT80" s="1">
        <v>33.103679999999997</v>
      </c>
      <c r="AU80" s="1">
        <v>2</v>
      </c>
      <c r="AV80" s="1">
        <v>0</v>
      </c>
      <c r="AW80" s="1">
        <v>0</v>
      </c>
      <c r="AX80" s="1">
        <v>0</v>
      </c>
      <c r="AY80" s="1">
        <v>3210.2932500000002</v>
      </c>
      <c r="AZ80" s="1">
        <v>102</v>
      </c>
      <c r="BA80" s="1">
        <v>102</v>
      </c>
      <c r="BB80" s="1">
        <v>41</v>
      </c>
      <c r="BC80" s="1">
        <v>41</v>
      </c>
      <c r="BD80" s="1">
        <v>23</v>
      </c>
      <c r="BE80" s="1">
        <v>18</v>
      </c>
      <c r="BF80" s="1">
        <v>304.81189999999998</v>
      </c>
      <c r="BG80" s="1">
        <v>102.83246</v>
      </c>
      <c r="BH80" s="1">
        <v>33.103679999999997</v>
      </c>
      <c r="BI80" s="1">
        <v>0</v>
      </c>
      <c r="BJ80" s="1">
        <v>27</v>
      </c>
      <c r="BK80" s="1">
        <v>0</v>
      </c>
      <c r="BL80" s="1">
        <v>181.67655999999999</v>
      </c>
      <c r="BM80" s="1">
        <v>0</v>
      </c>
      <c r="BN80" s="3">
        <v>0.1030787037037037</v>
      </c>
      <c r="BO80" s="1" t="s">
        <v>130</v>
      </c>
      <c r="BP80" s="1" t="s">
        <v>130</v>
      </c>
      <c r="BQ80" s="1" t="s">
        <v>130</v>
      </c>
      <c r="BR80" s="1">
        <v>12.35446</v>
      </c>
      <c r="BS80" s="1">
        <v>222</v>
      </c>
      <c r="BT80" s="1">
        <v>13.502269999999999</v>
      </c>
      <c r="BU80" s="1">
        <v>54</v>
      </c>
      <c r="BV80" s="1">
        <v>15.06629</v>
      </c>
      <c r="BW80" s="1">
        <v>40.858310000000003</v>
      </c>
      <c r="BX80" s="1">
        <v>0</v>
      </c>
      <c r="BY80" s="1">
        <v>32</v>
      </c>
      <c r="BZ80" s="1">
        <v>15.075150000000001</v>
      </c>
      <c r="CA80" s="1">
        <v>36.469970000000004</v>
      </c>
      <c r="CB80" s="1">
        <v>2.8750100000000001</v>
      </c>
      <c r="CC80" s="1">
        <v>20</v>
      </c>
      <c r="CD80" s="1">
        <v>15.623889999999999</v>
      </c>
      <c r="CE80" s="1">
        <v>23.580500000000001</v>
      </c>
      <c r="CF80" s="1">
        <v>7.5525000000000002</v>
      </c>
      <c r="CG80" s="1">
        <v>6</v>
      </c>
      <c r="CH80" s="1">
        <v>9.7299399999999991</v>
      </c>
      <c r="CI80" s="1">
        <v>10.994070000000001</v>
      </c>
      <c r="CJ80" s="1">
        <v>0</v>
      </c>
      <c r="CK80" s="1">
        <v>3</v>
      </c>
      <c r="CL80" s="1" t="s">
        <v>130</v>
      </c>
      <c r="CM80" s="1" t="s">
        <v>130</v>
      </c>
      <c r="CN80" s="1" t="s">
        <v>130</v>
      </c>
      <c r="CO80" s="1">
        <v>0</v>
      </c>
      <c r="CP80" s="1">
        <v>12.36435</v>
      </c>
      <c r="CQ80" s="1">
        <v>222</v>
      </c>
      <c r="CR80" s="1">
        <v>13.56465</v>
      </c>
      <c r="CS80" s="1">
        <v>54</v>
      </c>
      <c r="CT80" s="1">
        <v>15.06629</v>
      </c>
      <c r="CU80" s="1">
        <v>40.858310000000003</v>
      </c>
      <c r="CV80" s="1">
        <v>0</v>
      </c>
      <c r="CW80" s="1">
        <v>32</v>
      </c>
      <c r="CX80" s="1">
        <v>15.04491</v>
      </c>
      <c r="CY80" s="1">
        <v>36.469970000000004</v>
      </c>
      <c r="CZ80" s="1">
        <v>2.8750100000000001</v>
      </c>
      <c r="DA80" s="1">
        <v>20</v>
      </c>
      <c r="DB80" s="1">
        <v>15.623889999999999</v>
      </c>
      <c r="DC80" s="1">
        <v>23.580500000000001</v>
      </c>
      <c r="DD80" s="1">
        <v>7.5525000000000002</v>
      </c>
      <c r="DE80" s="1">
        <v>6</v>
      </c>
      <c r="DF80" s="1">
        <v>9.7299399999999991</v>
      </c>
      <c r="DG80" s="1">
        <v>10.994070000000001</v>
      </c>
      <c r="DH80" s="1">
        <v>0</v>
      </c>
      <c r="DI80" s="1">
        <v>3</v>
      </c>
      <c r="DJ80" s="1" t="s">
        <v>130</v>
      </c>
      <c r="DK80" s="1" t="s">
        <v>130</v>
      </c>
      <c r="DL80" s="1" t="s">
        <v>130</v>
      </c>
      <c r="DM80" s="1">
        <v>0</v>
      </c>
      <c r="DN80" s="1">
        <v>33.103679999999997</v>
      </c>
      <c r="DO80" s="1">
        <v>76.726230000000001</v>
      </c>
      <c r="DP80" s="1">
        <v>4.0906099999999999</v>
      </c>
      <c r="DQ80" s="1">
        <v>134.35040000000001</v>
      </c>
      <c r="DR80" s="1">
        <v>41</v>
      </c>
      <c r="DS80" s="1">
        <v>2.8793000000000002</v>
      </c>
      <c r="DT80" s="1">
        <v>5.7374599999999996</v>
      </c>
      <c r="DU80" s="1">
        <v>3188.52799</v>
      </c>
      <c r="DV80" s="1">
        <v>135.98333</v>
      </c>
      <c r="DW80" s="1">
        <v>102</v>
      </c>
      <c r="DX80" s="1">
        <v>0</v>
      </c>
      <c r="DY80" s="3">
        <v>0.1030787037037037</v>
      </c>
      <c r="DZ80" t="str">
        <f>IF(GPS_Table[[#This Row],[Max Vel (% Max)]] &gt;= 90, "YES", "NO")</f>
        <v>NO</v>
      </c>
    </row>
    <row r="81" spans="1:130" ht="14.25" customHeight="1" x14ac:dyDescent="0.2">
      <c r="A81" s="1" t="s">
        <v>222</v>
      </c>
      <c r="B81" s="1" t="s">
        <v>133</v>
      </c>
      <c r="C81" s="1" t="s">
        <v>129</v>
      </c>
      <c r="D81" s="1">
        <v>20.8</v>
      </c>
      <c r="E81" s="1">
        <v>17.608699999999999</v>
      </c>
      <c r="F81" s="1">
        <v>84.657210000000006</v>
      </c>
      <c r="G81" s="1">
        <v>0.17366000000000001</v>
      </c>
      <c r="H81" s="1">
        <v>263.67234000000002</v>
      </c>
      <c r="I81" s="1">
        <v>4218.7574000000004</v>
      </c>
      <c r="J81" s="3">
        <v>6.4351851851851853E-3</v>
      </c>
      <c r="K81" s="3">
        <v>0.1030787037037037</v>
      </c>
      <c r="L81" s="1">
        <v>351.12265000000002</v>
      </c>
      <c r="M81" s="1">
        <v>21.945170000000001</v>
      </c>
      <c r="N81" s="1">
        <v>6.4331199999999997</v>
      </c>
      <c r="O81" s="1">
        <v>2.3652700000000002</v>
      </c>
      <c r="P81" s="1">
        <v>351.12265000000002</v>
      </c>
      <c r="Q81" s="1">
        <v>1546.73811</v>
      </c>
      <c r="R81" s="3">
        <v>4.3981481481481481E-4</v>
      </c>
      <c r="S81" s="1">
        <v>151.36700999999999</v>
      </c>
      <c r="T81" s="1">
        <v>20</v>
      </c>
      <c r="U81" s="1">
        <v>7</v>
      </c>
      <c r="V81" s="3">
        <v>6.9444444444444444E-5</v>
      </c>
      <c r="W81" s="1">
        <v>37.882759999999998</v>
      </c>
      <c r="X81" s="1">
        <v>0</v>
      </c>
      <c r="Y81" s="1">
        <v>0</v>
      </c>
      <c r="Z81" s="3">
        <v>0</v>
      </c>
      <c r="AA81" s="1">
        <v>12</v>
      </c>
      <c r="AB81" s="1">
        <v>16.491689999999998</v>
      </c>
      <c r="AC81" s="3">
        <v>1.3888888888888889E-4</v>
      </c>
      <c r="AD81" s="1">
        <v>12</v>
      </c>
      <c r="AE81" s="1">
        <v>3</v>
      </c>
      <c r="AF81" s="1">
        <v>3.6198600000000001</v>
      </c>
      <c r="AG81" s="3">
        <v>2.3148148148148147E-5</v>
      </c>
      <c r="AH81" s="1">
        <v>3</v>
      </c>
      <c r="AI81" s="1">
        <v>0</v>
      </c>
      <c r="AJ81" s="1">
        <v>7.6550000000000007E-2</v>
      </c>
      <c r="AK81" s="3">
        <v>0</v>
      </c>
      <c r="AL81" s="1">
        <v>0</v>
      </c>
      <c r="AM81" s="1">
        <v>4.2280899999999999</v>
      </c>
      <c r="AN81" s="1">
        <v>-4.08528</v>
      </c>
      <c r="AO81" s="1">
        <v>111.0783</v>
      </c>
      <c r="AP81" s="1">
        <v>9</v>
      </c>
      <c r="AQ81" s="1">
        <v>15.72616</v>
      </c>
      <c r="AR81" s="1">
        <v>2</v>
      </c>
      <c r="AS81" s="1">
        <v>14.85127</v>
      </c>
      <c r="AT81" s="1">
        <v>14.85127</v>
      </c>
      <c r="AU81" s="1">
        <v>2</v>
      </c>
      <c r="AV81" s="1">
        <v>0</v>
      </c>
      <c r="AW81" s="1">
        <v>0</v>
      </c>
      <c r="AX81" s="1">
        <v>0</v>
      </c>
      <c r="AY81" s="1">
        <v>2565.8921399999999</v>
      </c>
      <c r="AZ81" s="1">
        <v>42</v>
      </c>
      <c r="BA81" s="1">
        <v>42</v>
      </c>
      <c r="BB81" s="1">
        <v>10</v>
      </c>
      <c r="BC81" s="1">
        <v>10</v>
      </c>
      <c r="BD81" s="1">
        <v>7</v>
      </c>
      <c r="BE81" s="1">
        <v>3</v>
      </c>
      <c r="BF81" s="1">
        <v>141.65573000000001</v>
      </c>
      <c r="BG81" s="1">
        <v>30.57743</v>
      </c>
      <c r="BH81" s="1">
        <v>14.85127</v>
      </c>
      <c r="BI81" s="1">
        <v>0</v>
      </c>
      <c r="BJ81" s="1">
        <v>13</v>
      </c>
      <c r="BK81" s="1">
        <v>0</v>
      </c>
      <c r="BL81" s="1">
        <v>148.22362000000001</v>
      </c>
      <c r="BM81" s="1">
        <v>0</v>
      </c>
      <c r="BN81" s="3">
        <v>0.1030787037037037</v>
      </c>
      <c r="BO81" s="1" t="s">
        <v>130</v>
      </c>
      <c r="BP81" s="1" t="s">
        <v>130</v>
      </c>
      <c r="BQ81" s="1" t="s">
        <v>130</v>
      </c>
      <c r="BR81" s="1">
        <v>10.835290000000001</v>
      </c>
      <c r="BS81" s="1">
        <v>193</v>
      </c>
      <c r="BT81" s="1">
        <v>16.1206</v>
      </c>
      <c r="BU81" s="1">
        <v>22</v>
      </c>
      <c r="BV81" s="1">
        <v>21.2623</v>
      </c>
      <c r="BW81" s="1">
        <v>40.401350000000001</v>
      </c>
      <c r="BX81" s="1">
        <v>10.004149999999999</v>
      </c>
      <c r="BY81" s="1">
        <v>11</v>
      </c>
      <c r="BZ81" s="1">
        <v>14.00976</v>
      </c>
      <c r="CA81" s="1">
        <v>30.52158</v>
      </c>
      <c r="CB81" s="1">
        <v>2.4365999999999999</v>
      </c>
      <c r="CC81" s="1">
        <v>10</v>
      </c>
      <c r="CD81" s="1">
        <v>14.292999999999999</v>
      </c>
      <c r="CE81" s="1">
        <v>16.594429999999999</v>
      </c>
      <c r="CF81" s="1">
        <v>11.991569999999999</v>
      </c>
      <c r="CG81" s="1">
        <v>2</v>
      </c>
      <c r="CH81" s="1">
        <v>6.1499800000000002</v>
      </c>
      <c r="CI81" s="1">
        <v>7.4595900000000004</v>
      </c>
      <c r="CJ81" s="1">
        <v>4.8403600000000004</v>
      </c>
      <c r="CK81" s="1">
        <v>2</v>
      </c>
      <c r="CL81" s="1" t="s">
        <v>130</v>
      </c>
      <c r="CM81" s="1" t="s">
        <v>130</v>
      </c>
      <c r="CN81" s="1" t="s">
        <v>130</v>
      </c>
      <c r="CO81" s="1">
        <v>0</v>
      </c>
      <c r="CP81" s="1">
        <v>10.68661</v>
      </c>
      <c r="CQ81" s="1">
        <v>196</v>
      </c>
      <c r="CR81" s="1">
        <v>16.1206</v>
      </c>
      <c r="CS81" s="1">
        <v>22</v>
      </c>
      <c r="CT81" s="1">
        <v>21.2623</v>
      </c>
      <c r="CU81" s="1">
        <v>40.401350000000001</v>
      </c>
      <c r="CV81" s="1">
        <v>10.004149999999999</v>
      </c>
      <c r="CW81" s="1">
        <v>11</v>
      </c>
      <c r="CX81" s="1">
        <v>13.87928</v>
      </c>
      <c r="CY81" s="1">
        <v>30.52158</v>
      </c>
      <c r="CZ81" s="1">
        <v>2.4365999999999999</v>
      </c>
      <c r="DA81" s="1">
        <v>10</v>
      </c>
      <c r="DB81" s="1">
        <v>14.292999999999999</v>
      </c>
      <c r="DC81" s="1">
        <v>16.594429999999999</v>
      </c>
      <c r="DD81" s="1">
        <v>11.991569999999999</v>
      </c>
      <c r="DE81" s="1">
        <v>2</v>
      </c>
      <c r="DF81" s="1">
        <v>6.1499800000000002</v>
      </c>
      <c r="DG81" s="1">
        <v>7.4595900000000004</v>
      </c>
      <c r="DH81" s="1">
        <v>4.8403600000000004</v>
      </c>
      <c r="DI81" s="1">
        <v>2</v>
      </c>
      <c r="DJ81" s="1" t="s">
        <v>130</v>
      </c>
      <c r="DK81" s="1" t="s">
        <v>130</v>
      </c>
      <c r="DL81" s="1" t="s">
        <v>130</v>
      </c>
      <c r="DM81" s="1">
        <v>0</v>
      </c>
      <c r="DN81" s="1">
        <v>14.85127</v>
      </c>
      <c r="DO81" s="1">
        <v>25.035779999999999</v>
      </c>
      <c r="DP81" s="1">
        <v>3.6663399999999999</v>
      </c>
      <c r="DQ81" s="1">
        <v>41.579169999999998</v>
      </c>
      <c r="DR81" s="1">
        <v>10</v>
      </c>
      <c r="DS81" s="1">
        <v>2.9904099999999998</v>
      </c>
      <c r="DT81" s="1">
        <v>3.3577599999999999</v>
      </c>
      <c r="DU81" s="1">
        <v>2560.26901</v>
      </c>
      <c r="DV81" s="1">
        <v>138.32</v>
      </c>
      <c r="DW81" s="1">
        <v>42</v>
      </c>
      <c r="DX81" s="1">
        <v>0</v>
      </c>
      <c r="DY81" s="3">
        <v>0.1030787037037037</v>
      </c>
      <c r="DZ81" t="str">
        <f>IF(GPS_Table[[#This Row],[Max Vel (% Max)]] &gt;= 90, "YES", "NO")</f>
        <v>NO</v>
      </c>
    </row>
    <row r="82" spans="1:130" ht="14.25" customHeight="1" x14ac:dyDescent="0.2">
      <c r="A82" s="1" t="s">
        <v>223</v>
      </c>
      <c r="B82" s="1" t="s">
        <v>133</v>
      </c>
      <c r="C82" s="1" t="s">
        <v>129</v>
      </c>
      <c r="D82" s="1">
        <v>23.09995</v>
      </c>
      <c r="E82" s="1">
        <v>17.519500000000001</v>
      </c>
      <c r="F82" s="1">
        <v>75.842150000000004</v>
      </c>
      <c r="G82" s="1">
        <v>0.1988</v>
      </c>
      <c r="H82" s="1">
        <v>301.10282999999998</v>
      </c>
      <c r="I82" s="1">
        <v>4817.64534</v>
      </c>
      <c r="J82" s="3">
        <v>6.4351851851851853E-3</v>
      </c>
      <c r="K82" s="3">
        <v>0.1030787037037037</v>
      </c>
      <c r="L82" s="1">
        <v>400.17559999999997</v>
      </c>
      <c r="M82" s="1">
        <v>25.01097</v>
      </c>
      <c r="N82" s="1">
        <v>6.2222600000000003</v>
      </c>
      <c r="O82" s="1">
        <v>2.6957100000000001</v>
      </c>
      <c r="P82" s="1">
        <v>400.17559999999997</v>
      </c>
      <c r="Q82" s="1">
        <v>1770.70631</v>
      </c>
      <c r="R82" s="3">
        <v>5.3240740740740744E-4</v>
      </c>
      <c r="S82" s="1">
        <v>211.60324</v>
      </c>
      <c r="T82" s="1">
        <v>33</v>
      </c>
      <c r="U82" s="1">
        <v>17</v>
      </c>
      <c r="V82" s="3">
        <v>2.7777777777777778E-4</v>
      </c>
      <c r="W82" s="1">
        <v>100.19685</v>
      </c>
      <c r="X82" s="1">
        <v>1</v>
      </c>
      <c r="Y82" s="1">
        <v>6.1461100000000002</v>
      </c>
      <c r="Z82" s="3">
        <v>0</v>
      </c>
      <c r="AA82" s="1">
        <v>20</v>
      </c>
      <c r="AB82" s="1">
        <v>55.86177</v>
      </c>
      <c r="AC82" s="3">
        <v>3.3564814814814812E-4</v>
      </c>
      <c r="AD82" s="1">
        <v>20</v>
      </c>
      <c r="AE82" s="1">
        <v>11</v>
      </c>
      <c r="AF82" s="1">
        <v>10.258089999999999</v>
      </c>
      <c r="AG82" s="3">
        <v>8.1018518518518516E-5</v>
      </c>
      <c r="AH82" s="1">
        <v>11</v>
      </c>
      <c r="AI82" s="1">
        <v>2</v>
      </c>
      <c r="AJ82" s="1">
        <v>3.2261600000000001</v>
      </c>
      <c r="AK82" s="3">
        <v>1.1574074074074073E-5</v>
      </c>
      <c r="AL82" s="1">
        <v>2</v>
      </c>
      <c r="AM82" s="1">
        <v>5.1498400000000002</v>
      </c>
      <c r="AN82" s="1">
        <v>-5.73848</v>
      </c>
      <c r="AO82" s="1">
        <v>157.72091</v>
      </c>
      <c r="AP82" s="1">
        <v>12</v>
      </c>
      <c r="AQ82" s="1">
        <v>9.9628200000000007</v>
      </c>
      <c r="AR82" s="1">
        <v>1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2384.97912</v>
      </c>
      <c r="AZ82" s="1">
        <v>84</v>
      </c>
      <c r="BA82" s="1">
        <v>84</v>
      </c>
      <c r="BB82" s="1">
        <v>31</v>
      </c>
      <c r="BC82" s="1">
        <v>31</v>
      </c>
      <c r="BD82" s="1">
        <v>18</v>
      </c>
      <c r="BE82" s="1">
        <v>13</v>
      </c>
      <c r="BF82" s="1">
        <v>167.68373</v>
      </c>
      <c r="BG82" s="1">
        <v>9.9628200000000007</v>
      </c>
      <c r="BH82" s="1">
        <v>0</v>
      </c>
      <c r="BI82" s="1">
        <v>0</v>
      </c>
      <c r="BJ82" s="1">
        <v>13</v>
      </c>
      <c r="BK82" s="1">
        <v>0</v>
      </c>
      <c r="BL82" s="1">
        <v>161.64903000000001</v>
      </c>
      <c r="BM82" s="1">
        <v>0</v>
      </c>
      <c r="BN82" s="3">
        <v>0.1030787037037037</v>
      </c>
      <c r="BO82" s="1" t="s">
        <v>130</v>
      </c>
      <c r="BP82" s="1" t="s">
        <v>130</v>
      </c>
      <c r="BQ82" s="1" t="s">
        <v>130</v>
      </c>
      <c r="BR82" s="1">
        <v>15.71495</v>
      </c>
      <c r="BS82" s="1">
        <v>141</v>
      </c>
      <c r="BT82" s="1">
        <v>14.571490000000001</v>
      </c>
      <c r="BU82" s="1">
        <v>43</v>
      </c>
      <c r="BV82" s="1">
        <v>13.19961</v>
      </c>
      <c r="BW82" s="1">
        <v>37.795270000000002</v>
      </c>
      <c r="BX82" s="1">
        <v>2.0144799999999998</v>
      </c>
      <c r="BY82" s="1">
        <v>23</v>
      </c>
      <c r="BZ82" s="1">
        <v>13.860200000000001</v>
      </c>
      <c r="CA82" s="1">
        <v>32.802930000000003</v>
      </c>
      <c r="CB82" s="1">
        <v>0</v>
      </c>
      <c r="CC82" s="1">
        <v>11</v>
      </c>
      <c r="CD82" s="1">
        <v>4.1940299999999997</v>
      </c>
      <c r="CE82" s="1">
        <v>4.1940299999999997</v>
      </c>
      <c r="CF82" s="1">
        <v>0</v>
      </c>
      <c r="CG82" s="1">
        <v>1</v>
      </c>
      <c r="CH82" s="1" t="s">
        <v>130</v>
      </c>
      <c r="CI82" s="1" t="s">
        <v>130</v>
      </c>
      <c r="CJ82" s="1" t="s">
        <v>130</v>
      </c>
      <c r="CK82" s="1">
        <v>0</v>
      </c>
      <c r="CL82" s="1" t="s">
        <v>130</v>
      </c>
      <c r="CM82" s="1" t="s">
        <v>130</v>
      </c>
      <c r="CN82" s="1" t="s">
        <v>130</v>
      </c>
      <c r="CO82" s="1">
        <v>0</v>
      </c>
      <c r="CP82" s="1">
        <v>15.71495</v>
      </c>
      <c r="CQ82" s="1">
        <v>141</v>
      </c>
      <c r="CR82" s="1">
        <v>14.571490000000001</v>
      </c>
      <c r="CS82" s="1">
        <v>43</v>
      </c>
      <c r="CT82" s="1">
        <v>13.19961</v>
      </c>
      <c r="CU82" s="1">
        <v>37.795270000000002</v>
      </c>
      <c r="CV82" s="1">
        <v>2.0144799999999998</v>
      </c>
      <c r="CW82" s="1">
        <v>23</v>
      </c>
      <c r="CX82" s="1">
        <v>13.860200000000001</v>
      </c>
      <c r="CY82" s="1">
        <v>32.802930000000003</v>
      </c>
      <c r="CZ82" s="1">
        <v>0</v>
      </c>
      <c r="DA82" s="1">
        <v>11</v>
      </c>
      <c r="DB82" s="1">
        <v>4.1940299999999997</v>
      </c>
      <c r="DC82" s="1">
        <v>4.1940299999999997</v>
      </c>
      <c r="DD82" s="1">
        <v>0</v>
      </c>
      <c r="DE82" s="1">
        <v>1</v>
      </c>
      <c r="DF82" s="1" t="s">
        <v>130</v>
      </c>
      <c r="DG82" s="1" t="s">
        <v>130</v>
      </c>
      <c r="DH82" s="1" t="s">
        <v>130</v>
      </c>
      <c r="DI82" s="1">
        <v>0</v>
      </c>
      <c r="DJ82" s="1" t="s">
        <v>130</v>
      </c>
      <c r="DK82" s="1" t="s">
        <v>130</v>
      </c>
      <c r="DL82" s="1" t="s">
        <v>130</v>
      </c>
      <c r="DM82" s="1">
        <v>0</v>
      </c>
      <c r="DN82" s="1">
        <v>0</v>
      </c>
      <c r="DO82" s="1">
        <v>55.790860000000002</v>
      </c>
      <c r="DP82" s="1">
        <v>3.6754600000000002</v>
      </c>
      <c r="DQ82" s="1">
        <v>119.82720999999999</v>
      </c>
      <c r="DR82" s="1">
        <v>31</v>
      </c>
      <c r="DS82" s="1">
        <v>2.1240700000000001</v>
      </c>
      <c r="DT82" s="1">
        <v>3.48062</v>
      </c>
      <c r="DU82" s="1">
        <v>2380.39156</v>
      </c>
      <c r="DV82" s="1">
        <v>136.13333</v>
      </c>
      <c r="DW82" s="1">
        <v>84</v>
      </c>
      <c r="DX82" s="1">
        <v>1</v>
      </c>
      <c r="DY82" s="3">
        <v>0.1030787037037037</v>
      </c>
      <c r="DZ82" t="str">
        <f>IF(GPS_Table[[#This Row],[Max Vel (% Max)]] &gt;= 90, "YES", "NO")</f>
        <v>NO</v>
      </c>
    </row>
    <row r="83" spans="1:130" ht="14.25" customHeight="1" x14ac:dyDescent="0.2">
      <c r="A83" s="1" t="s">
        <v>224</v>
      </c>
      <c r="B83" s="1" t="s">
        <v>133</v>
      </c>
      <c r="C83" s="1" t="s">
        <v>129</v>
      </c>
      <c r="D83" s="1">
        <v>20.599989999999998</v>
      </c>
      <c r="E83" s="1">
        <v>19.161729999999999</v>
      </c>
      <c r="F83" s="1">
        <v>93.018140000000002</v>
      </c>
      <c r="G83" s="1">
        <v>0.21346000000000001</v>
      </c>
      <c r="H83" s="1">
        <v>348.04577999999998</v>
      </c>
      <c r="I83" s="1">
        <v>5568.7325199999996</v>
      </c>
      <c r="J83" s="3">
        <v>6.4351851851851853E-3</v>
      </c>
      <c r="K83" s="3">
        <v>0.1030787037037037</v>
      </c>
      <c r="L83" s="1">
        <v>463.57868000000002</v>
      </c>
      <c r="M83" s="1">
        <v>28.973669999999998</v>
      </c>
      <c r="N83" s="1">
        <v>8.5422600000000006</v>
      </c>
      <c r="O83" s="1">
        <v>3.1228099999999999</v>
      </c>
      <c r="P83" s="1">
        <v>463.57868000000002</v>
      </c>
      <c r="Q83" s="1">
        <v>1901.2455</v>
      </c>
      <c r="R83" s="3">
        <v>6.3657407407407413E-4</v>
      </c>
      <c r="S83" s="1">
        <v>273.65485999999999</v>
      </c>
      <c r="T83" s="1">
        <v>25</v>
      </c>
      <c r="U83" s="1">
        <v>22</v>
      </c>
      <c r="V83" s="3">
        <v>2.3148148148148149E-4</v>
      </c>
      <c r="W83" s="1">
        <v>121.34733</v>
      </c>
      <c r="X83" s="1">
        <v>0</v>
      </c>
      <c r="Y83" s="1">
        <v>0</v>
      </c>
      <c r="Z83" s="3">
        <v>0</v>
      </c>
      <c r="AA83" s="1">
        <v>15</v>
      </c>
      <c r="AB83" s="1">
        <v>40.44182</v>
      </c>
      <c r="AC83" s="3">
        <v>4.1666666666666669E-4</v>
      </c>
      <c r="AD83" s="1">
        <v>15</v>
      </c>
      <c r="AE83" s="1">
        <v>2</v>
      </c>
      <c r="AF83" s="1">
        <v>4.9649999999999999</v>
      </c>
      <c r="AG83" s="3">
        <v>2.3148148148148147E-5</v>
      </c>
      <c r="AH83" s="1">
        <v>2</v>
      </c>
      <c r="AI83" s="1">
        <v>3</v>
      </c>
      <c r="AJ83" s="1">
        <v>3.57612</v>
      </c>
      <c r="AK83" s="3">
        <v>1.1574074074074073E-5</v>
      </c>
      <c r="AL83" s="1">
        <v>3</v>
      </c>
      <c r="AM83" s="1">
        <v>4.77379</v>
      </c>
      <c r="AN83" s="1">
        <v>-5.6082999999999998</v>
      </c>
      <c r="AO83" s="1">
        <v>301.60761000000002</v>
      </c>
      <c r="AP83" s="1">
        <v>25</v>
      </c>
      <c r="AQ83" s="1">
        <v>154.46194</v>
      </c>
      <c r="AR83" s="1">
        <v>14</v>
      </c>
      <c r="AS83" s="1">
        <v>138.79047</v>
      </c>
      <c r="AT83" s="1">
        <v>115.19029</v>
      </c>
      <c r="AU83" s="1">
        <v>7</v>
      </c>
      <c r="AV83" s="1">
        <v>1</v>
      </c>
      <c r="AW83" s="1">
        <v>23.600180000000002</v>
      </c>
      <c r="AX83" s="1">
        <v>1</v>
      </c>
      <c r="AY83" s="1">
        <v>3472.8663799999999</v>
      </c>
      <c r="AZ83" s="1">
        <v>67</v>
      </c>
      <c r="BA83" s="1">
        <v>67</v>
      </c>
      <c r="BB83" s="1">
        <v>27</v>
      </c>
      <c r="BC83" s="1">
        <v>27</v>
      </c>
      <c r="BD83" s="1">
        <v>22</v>
      </c>
      <c r="BE83" s="1">
        <v>5</v>
      </c>
      <c r="BF83" s="1">
        <v>594.86001999999996</v>
      </c>
      <c r="BG83" s="1">
        <v>293.25241</v>
      </c>
      <c r="BH83" s="1">
        <v>138.79047</v>
      </c>
      <c r="BI83" s="1">
        <v>23.600180000000002</v>
      </c>
      <c r="BJ83" s="1">
        <v>47</v>
      </c>
      <c r="BK83" s="1">
        <v>0</v>
      </c>
      <c r="BL83" s="1">
        <v>188.73256000000001</v>
      </c>
      <c r="BM83" s="1">
        <v>1</v>
      </c>
      <c r="BN83" s="3">
        <v>0.1030787037037037</v>
      </c>
      <c r="BO83" s="1" t="s">
        <v>130</v>
      </c>
      <c r="BP83" s="1" t="s">
        <v>130</v>
      </c>
      <c r="BQ83" s="1" t="s">
        <v>130</v>
      </c>
      <c r="BR83" s="1">
        <v>16.939869999999999</v>
      </c>
      <c r="BS83" s="1">
        <v>183</v>
      </c>
      <c r="BT83" s="1">
        <v>21.51088</v>
      </c>
      <c r="BU83" s="1">
        <v>46</v>
      </c>
      <c r="BV83" s="1">
        <v>24.909990000000001</v>
      </c>
      <c r="BW83" s="1">
        <v>59.10772</v>
      </c>
      <c r="BX83" s="1">
        <v>0</v>
      </c>
      <c r="BY83" s="1">
        <v>30</v>
      </c>
      <c r="BZ83" s="1">
        <v>24.84487</v>
      </c>
      <c r="CA83" s="1">
        <v>53.075220000000002</v>
      </c>
      <c r="CB83" s="1">
        <v>0</v>
      </c>
      <c r="CC83" s="1">
        <v>23</v>
      </c>
      <c r="CD83" s="1">
        <v>19.784960000000002</v>
      </c>
      <c r="CE83" s="1">
        <v>40.831209999999999</v>
      </c>
      <c r="CF83" s="1">
        <v>4.3974099999999998</v>
      </c>
      <c r="CG83" s="1">
        <v>14</v>
      </c>
      <c r="CH83" s="1">
        <v>17.046289999999999</v>
      </c>
      <c r="CI83" s="1">
        <v>37.363340000000001</v>
      </c>
      <c r="CJ83" s="1">
        <v>4.0802199999999997</v>
      </c>
      <c r="CK83" s="1">
        <v>8</v>
      </c>
      <c r="CL83" s="1">
        <v>17.390750000000001</v>
      </c>
      <c r="CM83" s="1">
        <v>17.390750000000001</v>
      </c>
      <c r="CN83" s="1">
        <v>0</v>
      </c>
      <c r="CO83" s="1">
        <v>1</v>
      </c>
      <c r="CP83" s="1">
        <v>16.78257</v>
      </c>
      <c r="CQ83" s="1">
        <v>186</v>
      </c>
      <c r="CR83" s="1">
        <v>20.926490000000001</v>
      </c>
      <c r="CS83" s="1">
        <v>48</v>
      </c>
      <c r="CT83" s="1">
        <v>25.147590000000001</v>
      </c>
      <c r="CU83" s="1">
        <v>59.10772</v>
      </c>
      <c r="CV83" s="1">
        <v>0</v>
      </c>
      <c r="CW83" s="1">
        <v>30</v>
      </c>
      <c r="CX83" s="1">
        <v>25.257010000000001</v>
      </c>
      <c r="CY83" s="1">
        <v>53.595860000000002</v>
      </c>
      <c r="CZ83" s="1">
        <v>0</v>
      </c>
      <c r="DA83" s="1">
        <v>23</v>
      </c>
      <c r="DB83" s="1">
        <v>19.52178</v>
      </c>
      <c r="DC83" s="1">
        <v>40.831209999999999</v>
      </c>
      <c r="DD83" s="1">
        <v>5.1423300000000003</v>
      </c>
      <c r="DE83" s="1">
        <v>15</v>
      </c>
      <c r="DF83" s="1">
        <v>17.07264</v>
      </c>
      <c r="DG83" s="1">
        <v>37.363340000000001</v>
      </c>
      <c r="DH83" s="1">
        <v>4.0059300000000002</v>
      </c>
      <c r="DI83" s="1">
        <v>9</v>
      </c>
      <c r="DJ83" s="1">
        <v>16.524419999999999</v>
      </c>
      <c r="DK83" s="1">
        <v>22.985499999999998</v>
      </c>
      <c r="DL83" s="1">
        <v>10.063319999999999</v>
      </c>
      <c r="DM83" s="1">
        <v>2</v>
      </c>
      <c r="DN83" s="1">
        <v>138.79047</v>
      </c>
      <c r="DO83" s="1">
        <v>105.11002000000001</v>
      </c>
      <c r="DP83" s="1">
        <v>3.4141400000000002</v>
      </c>
      <c r="DQ83" s="1">
        <v>129.88845000000001</v>
      </c>
      <c r="DR83" s="1">
        <v>27</v>
      </c>
      <c r="DS83" s="1">
        <v>2.2649900000000001</v>
      </c>
      <c r="DT83" s="1">
        <v>10.68214</v>
      </c>
      <c r="DU83" s="1">
        <v>3463.3639699999999</v>
      </c>
      <c r="DV83" s="1">
        <v>134.23832999999999</v>
      </c>
      <c r="DW83" s="1">
        <v>67</v>
      </c>
      <c r="DX83" s="1">
        <v>0</v>
      </c>
      <c r="DY83" s="3">
        <v>0.1030787037037037</v>
      </c>
      <c r="DZ83" t="str">
        <f>IF(GPS_Table[[#This Row],[Max Vel (% Max)]] &gt;= 90, "YES", "NO")</f>
        <v>YES</v>
      </c>
    </row>
    <row r="84" spans="1:130" ht="14.25" customHeight="1" x14ac:dyDescent="0.2"/>
    <row r="85" spans="1:130" ht="14.25" customHeight="1" x14ac:dyDescent="0.2"/>
    <row r="86" spans="1:130" ht="14.25" customHeight="1" x14ac:dyDescent="0.2"/>
    <row r="87" spans="1:130" ht="14.25" customHeight="1" x14ac:dyDescent="0.2"/>
    <row r="88" spans="1:130" ht="14.25" customHeight="1" x14ac:dyDescent="0.2"/>
    <row r="89" spans="1:130" ht="14.25" customHeight="1" x14ac:dyDescent="0.2"/>
    <row r="90" spans="1:130" ht="14.25" customHeight="1" x14ac:dyDescent="0.2"/>
    <row r="91" spans="1:130" ht="14.25" customHeight="1" x14ac:dyDescent="0.2"/>
    <row r="92" spans="1:130" ht="14.25" customHeight="1" x14ac:dyDescent="0.2"/>
    <row r="93" spans="1:130" ht="14.25" customHeight="1" x14ac:dyDescent="0.2"/>
    <row r="94" spans="1:130" ht="14.25" customHeight="1" x14ac:dyDescent="0.2"/>
    <row r="95" spans="1:130" ht="14.25" customHeight="1" x14ac:dyDescent="0.2"/>
    <row r="96" spans="1:130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</sheetData>
  <sortState xmlns:xlrd2="http://schemas.microsoft.com/office/spreadsheetml/2017/richdata2" ref="A2:DY995">
    <sortCondition ref="B2:B995"/>
    <sortCondition ref="A2:A995"/>
  </sortState>
  <phoneticPr fontId="4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Hallie Nichols</dc:creator>
  <cp:lastModifiedBy>Line-Luttrell, Gillian K</cp:lastModifiedBy>
  <dcterms:created xsi:type="dcterms:W3CDTF">2026-01-29T17:28:31Z</dcterms:created>
  <dcterms:modified xsi:type="dcterms:W3CDTF">2026-02-14T16:24:47Z</dcterms:modified>
</cp:coreProperties>
</file>